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1.xml" ContentType="application/vnd.openxmlformats-officedocument.drawingml.chart+xml"/>
  <Override PartName="/xl/charts/style1.xml" ContentType="application/vnd.ms-office.chartstyle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New Store" sheetId="3" state="visible" r:id="rId5"/>
    <sheet name="Cash" sheetId="4" state="visible" r:id="rId6"/>
    <sheet name="Inventory" sheetId="5" state="visible" r:id="rId7"/>
    <sheet name="Pricing" sheetId="6" state="visible" r:id="rId8"/>
    <sheet name="Data" sheetId="7" state="visible" r:id="rId9"/>
  </sheets>
  <definedNames>
    <definedName function="false" hidden="false" name="buildout_psf" vbProcedure="false">Inputs!$C$11</definedName>
    <definedName function="false" hidden="false" name="build_start" vbProcedure="false">Inputs!$C$31</definedName>
    <definedName function="false" hidden="false" name="build_weeks" vbProcedure="false">Inputs!$C$32</definedName>
    <definedName function="false" hidden="false" name="cash_cushion" vbProcedure="false">Inputs!$C$30</definedName>
    <definedName function="false" hidden="false" name="cash_end" vbProcedure="false">Cash!$B$7</definedName>
    <definedName function="false" hidden="false" name="cash_funding" vbProcedure="false">Cash!$B$8</definedName>
    <definedName function="false" hidden="false" name="cash_low" vbProcedure="false">Cash!$B$6</definedName>
    <definedName function="false" hidden="false" name="cash_open" vbProcedure="false">Inputs!$C$29</definedName>
    <definedName function="false" hidden="false" name="category" vbProcedure="false">Pricing!$B$4</definedName>
    <definedName function="false" hidden="false" name="category_list" vbProcedure="false">Data!$A$15:$A$23</definedName>
    <definedName function="false" hidden="false" name="checks_status" vbProcedure="false">Data!$B$68</definedName>
    <definedName function="false" hidden="false" name="days_window" vbProcedure="false">Data!$B$3</definedName>
    <definedName function="false" hidden="false" name="flag_runrate" vbProcedure="false">Data!$L$7</definedName>
    <definedName function="false" hidden="false" name="gm_actual" vbProcedure="false">Data!$F$10</definedName>
    <definedName function="false" hidden="false" name="ho_pct" vbProcedure="false">Inputs!$C$28</definedName>
    <definedName function="false" hidden="false" name="inv_days" vbProcedure="false">Inventory!$B$6</definedName>
    <definedName function="false" hidden="false" name="inv_total" vbProcedure="false">Inventory!$B$5</definedName>
    <definedName function="false" hidden="false" name="labor_floor" vbProcedure="false">Inputs!$C$27</definedName>
    <definedName function="false" hidden="false" name="labor_pct" vbProcedure="false">Inputs!$C$14</definedName>
    <definedName function="false" hidden="false" name="ns_gm" vbProcedure="false">'New Store'!$B$9</definedName>
    <definedName function="false" hidden="false" name="ns_invest" vbProcedure="false">'New Store'!$B$12</definedName>
    <definedName function="false" hidden="false" name="ns_mature_sales" vbProcedure="false">'New Store'!$B$8</definedName>
    <definedName function="false" hidden="false" name="ns_payback" vbProcedure="false">'New Store'!$B$15</definedName>
    <definedName function="false" hidden="false" name="ns_y3_profit" vbProcedure="false">'New Store'!$B$16</definedName>
    <definedName function="false" hidden="false" name="opening_costs" vbProcedure="false">Inputs!$C$26</definedName>
    <definedName function="false" hidden="false" name="other_pct" vbProcedure="false">Inputs!$C$16</definedName>
    <definedName function="false" hidden="false" name="price_change" vbProcedure="false">Pricing!$B$13</definedName>
    <definedName function="false" hidden="false" name="price_gp_year" vbProcedure="false">Pricing!$B$19</definedName>
    <definedName function="false" hidden="false" name="prod" vbProcedure="false">Inputs!$C$8</definedName>
    <definedName function="false" hidden="false" name="ramp_months" vbProcedure="false">Inputs!$C$10</definedName>
    <definedName function="false" hidden="false" name="ramp_start" vbProcedure="false">Inputs!$C$9</definedName>
    <definedName function="false" hidden="false" name="rent_psf" vbProcedure="false">Inputs!$C$15</definedName>
    <definedName function="false" hidden="false" name="s1_per_day" vbProcedure="false">Data!$K$7</definedName>
    <definedName function="false" hidden="false" name="s3_per_day" vbProcedure="false">Data!$K$9</definedName>
    <definedName function="false" hidden="false" name="sales_shock" vbProcedure="false">Inputs!$C$19</definedName>
    <definedName function="false" hidden="false" name="scenario" vbProcedure="false">Summary!$B$4</definedName>
    <definedName function="false" hidden="false" name="slow_share" vbProcedure="false">Inventory!$B$8</definedName>
    <definedName function="false" hidden="false" name="slow_top" vbProcedure="false">Inventory!$B$21</definedName>
    <definedName function="false" hidden="false" name="slow_total" vbProcedure="false">Inventory!$B$7</definedName>
    <definedName function="false" hidden="false" name="sqft_new" vbProcedure="false">Inputs!$C$25</definedName>
    <definedName function="false" hidden="false" name="sqft_s1" vbProcedure="false">Inputs!$C$22</definedName>
    <definedName function="false" hidden="false" name="sqft_s2" vbProcedure="false">Inputs!$C$23</definedName>
    <definedName function="false" hidden="false" name="sqft_s3" vbProcedure="false">Inputs!$C$24</definedName>
    <definedName function="false" hidden="false" name="stores_runrate" vbProcedure="false">Data!$L$10</definedName>
    <definedName function="false" hidden="false" name="waste_actual" vbProcedure="false">Data!$J$10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<sst xmlns="http://schemas.openxmlformats.org/spreadsheetml/2006/main" count="305" uniqueCount="256">
  <si>
    <t xml:space="preserve">Store planning model</t>
  </si>
  <si>
    <t xml:space="preserve">Should we open a store, can we afford it, where is cash tied up, and what does a price move do? Built on the Store Copilot demo data, which is made up.</t>
  </si>
  <si>
    <t xml:space="preserve">Scenario</t>
  </si>
  <si>
    <t xml:space="preserve">Base</t>
  </si>
  <si>
    <t xml:space="preserve">Pick Base, Upside or Downside. Every tab updates.</t>
  </si>
  <si>
    <t xml:space="preserve">A new store pays back in</t>
  </si>
  <si>
    <t xml:space="preserve">Funding needed to open it</t>
  </si>
  <si>
    <t xml:space="preserve">Cash tied up in slow stock</t>
  </si>
  <si>
    <t xml:space="preserve">Price test, gross profit a year</t>
  </si>
  <si>
    <t xml:space="preserve">What this says</t>
  </si>
  <si>
    <t xml:space="preserve">How to use it</t>
  </si>
  <si>
    <t xml:space="preserve">Blue: an input you can change (Inputs tab).</t>
  </si>
  <si>
    <t xml:space="preserve">Black: a formula.      Green: pulled from another tab.</t>
  </si>
  <si>
    <t xml:space="preserve">Yellow: the main switches.</t>
  </si>
  <si>
    <t xml:space="preserve">Sales, cost of goods, waste and stock come from the demo data. Store sizes, labor, rent, opening costs and cash in the bank are assumptions, each with a note on Inputs.</t>
  </si>
  <si>
    <t xml:space="preserve">Inputs</t>
  </si>
  <si>
    <t xml:space="preserve">Change the blue cells. The scenario is switched on the Summary tab; the Live column feeds every other tab.</t>
  </si>
  <si>
    <t xml:space="preserve">Assumption</t>
  </si>
  <si>
    <t xml:space="preserve">Unit</t>
  </si>
  <si>
    <t xml:space="preserve">Live</t>
  </si>
  <si>
    <t xml:space="preserve">Upside</t>
  </si>
  <si>
    <t xml:space="preserve">Downside</t>
  </si>
  <si>
    <t xml:space="preserve">Last 30 days</t>
  </si>
  <si>
    <t xml:space="preserve">Notes</t>
  </si>
  <si>
    <t xml:space="preserve">New store</t>
  </si>
  <si>
    <t xml:space="preserve">Sales per sq ft vs flagship</t>
  </si>
  <si>
    <t xml:space="preserve">% of flagship</t>
  </si>
  <si>
    <t xml:space="preserve">100% means the same sales per sq ft as the flagship.</t>
  </si>
  <si>
    <t xml:space="preserve">Month 1 sales</t>
  </si>
  <si>
    <t xml:space="preserve">% of mature</t>
  </si>
  <si>
    <t xml:space="preserve">Last 30 days: Store 3's sales per sq ft in its first 19 days, vs the flagship.</t>
  </si>
  <si>
    <t xml:space="preserve">Months to reach mature sales</t>
  </si>
  <si>
    <t xml:space="preserve">months</t>
  </si>
  <si>
    <t xml:space="preserve">The demo data ramps a store in 30 days, which is fast. Real stores take 12 to 24 months.</t>
  </si>
  <si>
    <t xml:space="preserve">Build-out</t>
  </si>
  <si>
    <t xml:space="preserve">$ per sq ft</t>
  </si>
  <si>
    <t xml:space="preserve">Construction, equipment, fixtures.</t>
  </si>
  <si>
    <t xml:space="preserve">Store running costs</t>
  </si>
  <si>
    <t xml:space="preserve">Store labor</t>
  </si>
  <si>
    <t xml:space="preserve">% of sales</t>
  </si>
  <si>
    <t xml:space="preserve">Not in the data. The cafe and hot bar make this higher than a typical grocery store.</t>
  </si>
  <si>
    <t xml:space="preserve">Rent</t>
  </si>
  <si>
    <t xml:space="preserve">$ per sq ft per year</t>
  </si>
  <si>
    <t xml:space="preserve">Not in the data.</t>
  </si>
  <si>
    <t xml:space="preserve">Other operating costs</t>
  </si>
  <si>
    <t xml:space="preserve">Card fees, utilities, supplies, repairs, local marketing. Not in the data.</t>
  </si>
  <si>
    <t xml:space="preserve">Cash forecast</t>
  </si>
  <si>
    <t xml:space="preserve">Sales vs today's run-rate</t>
  </si>
  <si>
    <t xml:space="preserve">%</t>
  </si>
  <si>
    <t xml:space="preserve">0% means the next 13 weeks sell at the last 30 days' pace.</t>
  </si>
  <si>
    <t xml:space="preserve">Same in every scenario</t>
  </si>
  <si>
    <t xml:space="preserve">Flagship size</t>
  </si>
  <si>
    <t xml:space="preserve">sq ft</t>
  </si>
  <si>
    <t xml:space="preserve">Store sizes are not in the data.</t>
  </si>
  <si>
    <t xml:space="preserve">Store 2 size</t>
  </si>
  <si>
    <t xml:space="preserve">Store 3 size</t>
  </si>
  <si>
    <t xml:space="preserve">New store size</t>
  </si>
  <si>
    <t xml:space="preserve">Opening costs</t>
  </si>
  <si>
    <t xml:space="preserve">$</t>
  </si>
  <si>
    <t xml:space="preserve">Hiring, training, launch marketing and the first stock.</t>
  </si>
  <si>
    <t xml:space="preserve">Labor floor while a store ramps</t>
  </si>
  <si>
    <t xml:space="preserve">% of mature labor</t>
  </si>
  <si>
    <t xml:space="preserve">A new store can't cut staff in line with lower early sales.</t>
  </si>
  <si>
    <t xml:space="preserve">Head office costs</t>
  </si>
  <si>
    <t xml:space="preserve">Finance, buying, marketing, leadership.</t>
  </si>
  <si>
    <t xml:space="preserve">Cash in the bank today</t>
  </si>
  <si>
    <t xml:space="preserve">Cash cushion to keep</t>
  </si>
  <si>
    <t xml:space="preserve">The lowest balance you are comfortable with.</t>
  </si>
  <si>
    <t xml:space="preserve">New store build starts in week</t>
  </si>
  <si>
    <t xml:space="preserve">week</t>
  </si>
  <si>
    <t xml:space="preserve">Enter 0 for no new store.</t>
  </si>
  <si>
    <t xml:space="preserve">Build is paid over</t>
  </si>
  <si>
    <t xml:space="preserve">weeks</t>
  </si>
  <si>
    <t xml:space="preserve">Gross margin and waste are not inputs: the model uses the last 30 days from the Data tab.</t>
  </si>
  <si>
    <t xml:space="preserve">New store: should we open one?</t>
  </si>
  <si>
    <t xml:space="preserve">What it costs and what it sells</t>
  </si>
  <si>
    <t xml:space="preserve">Store size (sq ft)</t>
  </si>
  <si>
    <t xml:space="preserve">Flagship sales per sq ft</t>
  </si>
  <si>
    <t xml:space="preserve">Mature annual sales</t>
  </si>
  <si>
    <t xml:space="preserve">Gross margin, last 30 days</t>
  </si>
  <si>
    <t xml:space="preserve">Total investment</t>
  </si>
  <si>
    <t xml:space="preserve">Results</t>
  </si>
  <si>
    <t xml:space="preserve">Payback (months after opening)</t>
  </si>
  <si>
    <t xml:space="preserve">Year 3 store profit</t>
  </si>
  <si>
    <t xml:space="preserve">Year 3 return on the investment</t>
  </si>
  <si>
    <t xml:space="preserve">Store profit margin at maturity</t>
  </si>
  <si>
    <t xml:space="preserve">By store year</t>
  </si>
  <si>
    <t xml:space="preserve">Sales</t>
  </si>
  <si>
    <t xml:space="preserve">Gross profit</t>
  </si>
  <si>
    <t xml:space="preserve">Waste</t>
  </si>
  <si>
    <t xml:space="preserve">Labor</t>
  </si>
  <si>
    <t xml:space="preserve">Store profit</t>
  </si>
  <si>
    <t xml:space="preserve">Store profit margin</t>
  </si>
  <si>
    <t xml:space="preserve">Cumulative cash at year end</t>
  </si>
  <si>
    <t xml:space="preserve">What if: store profit in a mature year</t>
  </si>
  <si>
    <t xml:space="preserve">Rows move sales per sq ft, columns move gross margin, around the live scenario (center).</t>
  </si>
  <si>
    <t xml:space="preserve">Sales per sq ft vs flagship  /  gross margin</t>
  </si>
  <si>
    <t xml:space="preserve">Month by month</t>
  </si>
  <si>
    <t xml:space="preserve">Month</t>
  </si>
  <si>
    <t xml:space="preserve">Store year</t>
  </si>
  <si>
    <t xml:space="preserve">Sales ramp, % of mature</t>
  </si>
  <si>
    <t xml:space="preserve">Opening investment</t>
  </si>
  <si>
    <t xml:space="preserve">Cash flow</t>
  </si>
  <si>
    <t xml:space="preserve">Cumulative cash</t>
  </si>
  <si>
    <t xml:space="preserve">Paid back (month)</t>
  </si>
  <si>
    <t xml:space="preserve">Cash: can we afford it?</t>
  </si>
  <si>
    <t xml:space="preserve">Key numbers</t>
  </si>
  <si>
    <t xml:space="preserve">Lowest cash in the next 13 weeks</t>
  </si>
  <si>
    <t xml:space="preserve">Cash at the end of week 13</t>
  </si>
  <si>
    <t xml:space="preserve">Funding needed to stay above the cushion</t>
  </si>
  <si>
    <t xml:space="preserve">Cash from the stores over 13 weeks, before the build</t>
  </si>
  <si>
    <t xml:space="preserve">Week by week (weeks -6 to -1 are history: vendors are still owed for part of them)</t>
  </si>
  <si>
    <t xml:space="preserve">Week</t>
  </si>
  <si>
    <t xml:space="preserve">Week starting</t>
  </si>
  <si>
    <t xml:space="preserve">Purchases (goods sold at cost, plus waste)</t>
  </si>
  <si>
    <t xml:space="preserve">Cash in</t>
  </si>
  <si>
    <t xml:space="preserve">Sales receipts</t>
  </si>
  <si>
    <t xml:space="preserve">Cash out</t>
  </si>
  <si>
    <t xml:space="preserve">Suppliers, on their payment terms</t>
  </si>
  <si>
    <t xml:space="preserve">Payroll, every two weeks</t>
  </si>
  <si>
    <t xml:space="preserve">Rent, first week of the month</t>
  </si>
  <si>
    <t xml:space="preserve">Head office</t>
  </si>
  <si>
    <t xml:space="preserve">Cash from the stores</t>
  </si>
  <si>
    <t xml:space="preserve">New store build</t>
  </si>
  <si>
    <t xml:space="preserve">Net cash flow</t>
  </si>
  <si>
    <t xml:space="preserve">Cash at the end of the week</t>
  </si>
  <si>
    <t xml:space="preserve">Cash cushion</t>
  </si>
  <si>
    <t xml:space="preserve">Below the cushion?</t>
  </si>
  <si>
    <t xml:space="preserve">How to read it: sales come in the same week. Vendors are paid 0 to 6 weeks after delivery, by their terms on the Data tab. Payroll and rent are lumpy, so some weeks dip.</t>
  </si>
  <si>
    <t xml:space="preserve">Inventory: where is cash tied up?</t>
  </si>
  <si>
    <t xml:space="preserve">Stock on hand today, at cost, against the last 30 days of sales. From the Data tab.</t>
  </si>
  <si>
    <t xml:space="preserve">Stock on hand, at cost</t>
  </si>
  <si>
    <t xml:space="preserve">Days of stock</t>
  </si>
  <si>
    <t xml:space="preserve">Slow stock, at cost</t>
  </si>
  <si>
    <t xml:space="preserve">Slow stock, share of all stock</t>
  </si>
  <si>
    <t xml:space="preserve">By category</t>
  </si>
  <si>
    <t xml:space="preserve">Category</t>
  </si>
  <si>
    <t xml:space="preserve">Stock at cost</t>
  </si>
  <si>
    <t xml:space="preserve">Cost of goods, 30 days</t>
  </si>
  <si>
    <t xml:space="preserve">Turns a year</t>
  </si>
  <si>
    <t xml:space="preserve">Gross profit a year per $1 of stock</t>
  </si>
  <si>
    <t xml:space="preserve">Average shelf life (days)</t>
  </si>
  <si>
    <t xml:space="preserve">Stock vs shelf life</t>
  </si>
  <si>
    <t xml:space="preserve">Slow stock</t>
  </si>
  <si>
    <t xml:space="preserve">Slow stock, % of stock</t>
  </si>
  <si>
    <t xml:space="preserve">Stock-outs</t>
  </si>
  <si>
    <t xml:space="preserve">Total</t>
  </si>
  <si>
    <t xml:space="preserve">Most slow stock is in</t>
  </si>
  <si>
    <t xml:space="preserve">Slow stock: more than 60 days on hand, or no sales in 30 days. Days of stock = stock divided by one day's cost of goods. Turns a year = 365 divided by days of stock. Cafe and hot bar items are made fresh each day and hold no stock, so they are left out.</t>
  </si>
  <si>
    <t xml:space="preserve">Pricing: what does a price move do?</t>
  </si>
  <si>
    <t xml:space="preserve">Test a price change or a promotion on one category, using its last-30-day price, cost and volume.</t>
  </si>
  <si>
    <t xml:space="preserve">Meat &amp; Seafood</t>
  </si>
  <si>
    <t xml:space="preserve">Pick a category from the list.</t>
  </si>
  <si>
    <t xml:space="preserve">Price change</t>
  </si>
  <si>
    <t xml:space="preserve">Average shelf price</t>
  </si>
  <si>
    <t xml:space="preserve">Average unit cost</t>
  </si>
  <si>
    <t xml:space="preserve">Units per week, all stores</t>
  </si>
  <si>
    <t xml:space="preserve">Gross margin now</t>
  </si>
  <si>
    <t xml:space="preserve">Target margin</t>
  </si>
  <si>
    <t xml:space="preserve">From the Pricing and Margin Policy.</t>
  </si>
  <si>
    <t xml:space="preserve">Gap to target</t>
  </si>
  <si>
    <t xml:space="preserve">Price elasticity</t>
  </si>
  <si>
    <t xml:space="preserve">-1.2 means a 1% price rise loses 1.2% of units. Not measured in the demo data; grocery is often -0.5 to -2.5.</t>
  </si>
  <si>
    <t xml:space="preserve">New price</t>
  </si>
  <si>
    <t xml:space="preserve">Units per week after</t>
  </si>
  <si>
    <t xml:space="preserve">Gross profit per week, now</t>
  </si>
  <si>
    <t xml:space="preserve">Gross profit per week, after</t>
  </si>
  <si>
    <t xml:space="preserve">Change in gross profit per year</t>
  </si>
  <si>
    <t xml:space="preserve">New gross margin</t>
  </si>
  <si>
    <t xml:space="preserve">Break-even change in units</t>
  </si>
  <si>
    <t xml:space="preserve">The unit change that leaves gross profit flat.</t>
  </si>
  <si>
    <t xml:space="preserve">Change in gross profit per year: price change (rows) by elasticity (columns)</t>
  </si>
  <si>
    <t xml:space="preserve">Promotion</t>
  </si>
  <si>
    <t xml:space="preserve">Discount</t>
  </si>
  <si>
    <t xml:space="preserve">Promotion length (weeks)</t>
  </si>
  <si>
    <t xml:space="preserve">Expected unit lift</t>
  </si>
  <si>
    <t xml:space="preserve">Extra units during the promotion vs a normal week.</t>
  </si>
  <si>
    <t xml:space="preserve">Share of the discount the vendor pays</t>
  </si>
  <si>
    <t xml:space="preserve">Promotion price</t>
  </si>
  <si>
    <t xml:space="preserve">Our margin per unit during the promotion</t>
  </si>
  <si>
    <t xml:space="preserve">Extra gross profit from the promotion</t>
  </si>
  <si>
    <t xml:space="preserve">Break-even unit lift</t>
  </si>
  <si>
    <t xml:space="preserve">The lift the promotion needs to pay for itself.</t>
  </si>
  <si>
    <t xml:space="preserve">Markdown policy (Pricing and Margin Policy)</t>
  </si>
  <si>
    <t xml:space="preserve">Data and checks</t>
  </si>
  <si>
    <t xml:space="preserve">Last 30 days of the demo data, 2026-08-30 to 2026-09-28. Made-up data. Pasted from store.db by planning/build_workbook.py. Blue = pasted value, black = formula.</t>
  </si>
  <si>
    <t xml:space="preserve">Days in window</t>
  </si>
  <si>
    <t xml:space="preserve">By store</t>
  </si>
  <si>
    <t xml:space="preserve">Store</t>
  </si>
  <si>
    <t xml:space="preserve">Days open</t>
  </si>
  <si>
    <t xml:space="preserve">Sales, item lines</t>
  </si>
  <si>
    <t xml:space="preserve">Sales, POS transactions</t>
  </si>
  <si>
    <t xml:space="preserve">Cost of goods</t>
  </si>
  <si>
    <t xml:space="preserve">Gross margin</t>
  </si>
  <si>
    <t xml:space="preserve">Transactions</t>
  </si>
  <si>
    <t xml:space="preserve">Average basket</t>
  </si>
  <si>
    <t xml:space="preserve">Waste cost</t>
  </si>
  <si>
    <t xml:space="preserve">Waste, % of sales</t>
  </si>
  <si>
    <t xml:space="preserve">Sales per open day</t>
  </si>
  <si>
    <t xml:space="preserve">Annual run-rate</t>
  </si>
  <si>
    <t xml:space="preserve">Flagship (Downtown)</t>
  </si>
  <si>
    <t xml:space="preserve">Store 2 (Coconut Grove, hypothetical)</t>
  </si>
  <si>
    <t xml:space="preserve">Store 3 (Miami Beach, hypothetical)</t>
  </si>
  <si>
    <t xml:space="preserve">Store 3 opened recently: 19 days in the window, so its run-rate understates a full year.</t>
  </si>
  <si>
    <t xml:space="preserve">Units</t>
  </si>
  <si>
    <t xml:space="preserve">Average price</t>
  </si>
  <si>
    <t xml:space="preserve">Units per week</t>
  </si>
  <si>
    <t xml:space="preserve">Slow stock at cost</t>
  </si>
  <si>
    <t xml:space="preserve">Slow SKUs</t>
  </si>
  <si>
    <t xml:space="preserve">Produce</t>
  </si>
  <si>
    <t xml:space="preserve">Dairy &amp; Eggs</t>
  </si>
  <si>
    <t xml:space="preserve">Pantry</t>
  </si>
  <si>
    <t xml:space="preserve">Snacks</t>
  </si>
  <si>
    <t xml:space="preserve">Beverages &amp; Juices</t>
  </si>
  <si>
    <t xml:space="preserve">Cafe &amp; Hot Bar</t>
  </si>
  <si>
    <t xml:space="preserve">Supplements</t>
  </si>
  <si>
    <t xml:space="preserve">Beauty &amp; Body</t>
  </si>
  <si>
    <t xml:space="preserve">Unmapped POS codes</t>
  </si>
  <si>
    <t xml:space="preserve">Slow stock: more than 60 days of stock on hand, or no sales in 30 days. Cafe and hot bar items are made fresh each day, so they hold no stock.</t>
  </si>
  <si>
    <t xml:space="preserve">The last 6 weeks</t>
  </si>
  <si>
    <t xml:space="preserve">From</t>
  </si>
  <si>
    <t xml:space="preserve">To</t>
  </si>
  <si>
    <t xml:space="preserve">Purchases</t>
  </si>
  <si>
    <t xml:space="preserve">Purchases = what was sold, at cost, plus what was wasted (stock held level).</t>
  </si>
  <si>
    <t xml:space="preserve">Vendor payment terms</t>
  </si>
  <si>
    <t xml:space="preserve">Payment terms</t>
  </si>
  <si>
    <t xml:space="preserve">Vendors</t>
  </si>
  <si>
    <t xml:space="preserve">Share</t>
  </si>
  <si>
    <t xml:space="preserve">Paid after (weeks)</t>
  </si>
  <si>
    <t xml:space="preserve">Paid on delivery (in-house kitchen)</t>
  </si>
  <si>
    <t xml:space="preserve">Net 15</t>
  </si>
  <si>
    <t xml:space="preserve">Net 30</t>
  </si>
  <si>
    <t xml:space="preserve">Net 45</t>
  </si>
  <si>
    <t xml:space="preserve">Terms missing on the vendor record</t>
  </si>
  <si>
    <t xml:space="preserve">Net 30 means the vendor is paid about 4 weeks after delivery. Records with no terms, and sales on unmapped POS codes, are assumed to be 4 weeks.</t>
  </si>
  <si>
    <t xml:space="preserve">Checks: each one works a number out a second way</t>
  </si>
  <si>
    <t xml:space="preserve">Check</t>
  </si>
  <si>
    <t xml:space="preserve">Value</t>
  </si>
  <si>
    <t xml:space="preserve">Worked out again</t>
  </si>
  <si>
    <t xml:space="preserve">Difference</t>
  </si>
  <si>
    <t xml:space="preserve">Status</t>
  </si>
  <si>
    <t xml:space="preserve">Sales: item lines tie to POS transactions</t>
  </si>
  <si>
    <t xml:space="preserve">Sales: categories tie to stores</t>
  </si>
  <si>
    <t xml:space="preserve">Cost of goods: categories tie to stores</t>
  </si>
  <si>
    <t xml:space="preserve">Cost of goods: payment terms cover every vendor</t>
  </si>
  <si>
    <t xml:space="preserve">Stock: categories tie to stores</t>
  </si>
  <si>
    <t xml:space="preserve">New store: 60 months tie to the 5 yearly totals</t>
  </si>
  <si>
    <t xml:space="preserve">Cash: week 13 equals today's cash plus every week's net flow</t>
  </si>
  <si>
    <t xml:space="preserve">Inventory: the total matches the stock in this tab</t>
  </si>
  <si>
    <t xml:space="preserve">Pricing: a 0% price change changes nothing</t>
  </si>
  <si>
    <t xml:space="preserve">Scenario name is valid</t>
  </si>
  <si>
    <t xml:space="preserve">Ramp and labor floor are between 0% and 100%</t>
  </si>
  <si>
    <t xml:space="preserve">Vendor payment delays fit the 6 weeks of history</t>
  </si>
  <si>
    <t xml:space="preserve">Payment shares add up to 100%</t>
  </si>
  <si>
    <t xml:space="preserve">Pricing category is in the list</t>
  </si>
  <si>
    <t xml:space="preserve">Result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</si>
</sst>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;[RED]&quot;($&quot;#,##0\);\-"/>
    <numFmt numFmtId="166" formatCode="\$#,##0,\K"/>
    <numFmt numFmtId="167" formatCode="0"/>
    <numFmt numFmtId="168" formatCode="0%;[RED]\(0%\);\-"/>
    <numFmt numFmtId="169" formatCode="#,##0;[RED]\(#,##0\);\-"/>
    <numFmt numFmtId="170" formatCode="0.0%;[RED]\(0.0%\);\-"/>
    <numFmt numFmtId="171" formatCode="\+0.0%;[RED]\-0.0%;0.0%"/>
    <numFmt numFmtId="172" formatCode="&quot;Year &quot;0"/>
    <numFmt numFmtId="173" formatCode="\$#,##0,\K;[RED]&quot;($&quot;#,##0,&quot;K)&quot;;\-"/>
    <numFmt numFmtId="174" formatCode="mmm\ d"/>
    <numFmt numFmtId="175" formatCode="0.0;[RED]\-0.0;\-"/>
    <numFmt numFmtId="176" formatCode="\$#,##0.00;[RED]&quot;($&quot;#,##0.00\);\-"/>
    <numFmt numFmtId="177" formatCode="0.0"/>
    <numFmt numFmtId="178" formatCode="\+0%;\-0%;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E5E45"/>
      <name val="Arial"/>
      <family val="0"/>
      <charset val="1"/>
    </font>
    <font>
      <sz val="10"/>
      <color rgb="FF6B6B6B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9"/>
      <color rgb="FF6B6B6B"/>
      <name val="Arial"/>
      <family val="0"/>
      <charset val="1"/>
    </font>
    <font>
      <b val="true"/>
      <sz val="20"/>
      <color rgb="FF2E5E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EF3EF"/>
        <bgColor rgb="FFFFFFFF"/>
      </patternFill>
    </fill>
    <fill>
      <patternFill patternType="solid">
        <fgColor rgb="FF2E5E45"/>
        <bgColor rgb="FF2E845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8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1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2E845A"/>
      </font>
    </dxf>
    <dxf>
      <font>
        <name val="Arial"/>
        <charset val="1"/>
        <family val="0"/>
        <b val="1"/>
        <color rgb="FFC0392B"/>
      </font>
    </dxf>
    <dxf>
      <font>
        <name val="Arial"/>
        <charset val="1"/>
        <family val="0"/>
        <b val="1"/>
        <color rgb="FFFFFFFF"/>
      </font>
      <fill>
        <patternFill>
          <bgColor rgb="FFC0392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EEF3EF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6B"/>
      <rgbColor rgb="FF9E9E9E"/>
      <rgbColor rgb="FF003366"/>
      <rgbColor rgb="FF2E845A"/>
      <rgbColor rgb="FF003300"/>
      <rgbColor rgb="FF333300"/>
      <rgbColor rgb="FFC0392B"/>
      <rgbColor rgb="FF993366"/>
      <rgbColor rgb="FF333399"/>
      <rgbColor rgb="FF2E5E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New store: cumulative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ln w="28080">
              <a:solidFill>
                <a:srgbClr val="2E845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Store'!$C$43:$BK$43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'New Store'!$C$55:$BK$55</c:f>
              <c:numCache>
                <c:formatCode>\$#,##0,\K;[RED]"($"#,##0,"K)";\-</c:formatCode>
                <c:ptCount val="61"/>
                <c:pt idx="0">
                  <c:v>-2350000</c:v>
                </c:pt>
                <c:pt idx="1">
                  <c:v>-2354867.78018934</c:v>
                </c:pt>
                <c:pt idx="2">
                  <c:v>-2355016.36689685</c:v>
                </c:pt>
                <c:pt idx="3">
                  <c:v>-2350445.76012253</c:v>
                </c:pt>
                <c:pt idx="4">
                  <c:v>-2341155.95986639</c:v>
                </c:pt>
                <c:pt idx="5">
                  <c:v>-2327146.96612842</c:v>
                </c:pt>
                <c:pt idx="6">
                  <c:v>-2308418.77890862</c:v>
                </c:pt>
                <c:pt idx="7">
                  <c:v>-2284971.398207</c:v>
                </c:pt>
                <c:pt idx="8">
                  <c:v>-2256804.82402354</c:v>
                </c:pt>
                <c:pt idx="9">
                  <c:v>-2223919.05635827</c:v>
                </c:pt>
                <c:pt idx="10">
                  <c:v>-2186314.09521116</c:v>
                </c:pt>
                <c:pt idx="11">
                  <c:v>-2143989.94058223</c:v>
                </c:pt>
                <c:pt idx="12">
                  <c:v>-2097831.09642278</c:v>
                </c:pt>
                <c:pt idx="13">
                  <c:v>-2049311.73598498</c:v>
                </c:pt>
                <c:pt idx="14">
                  <c:v>-1998431.85926885</c:v>
                </c:pt>
                <c:pt idx="15">
                  <c:v>-1945191.46627437</c:v>
                </c:pt>
                <c:pt idx="16">
                  <c:v>-1889590.55700155</c:v>
                </c:pt>
                <c:pt idx="17">
                  <c:v>-1831629.1314504</c:v>
                </c:pt>
                <c:pt idx="18">
                  <c:v>-1771307.1896209</c:v>
                </c:pt>
                <c:pt idx="19">
                  <c:v>-1710985.2477914</c:v>
                </c:pt>
                <c:pt idx="20">
                  <c:v>-1650663.3059619</c:v>
                </c:pt>
                <c:pt idx="21">
                  <c:v>-1590341.3641324</c:v>
                </c:pt>
                <c:pt idx="22">
                  <c:v>-1530019.4223029</c:v>
                </c:pt>
                <c:pt idx="23">
                  <c:v>-1469697.4804734</c:v>
                </c:pt>
                <c:pt idx="24">
                  <c:v>-1409375.5386439</c:v>
                </c:pt>
                <c:pt idx="25">
                  <c:v>-1349053.5968144</c:v>
                </c:pt>
                <c:pt idx="26">
                  <c:v>-1288731.6549849</c:v>
                </c:pt>
                <c:pt idx="27">
                  <c:v>-1228409.7131554</c:v>
                </c:pt>
                <c:pt idx="28">
                  <c:v>-1168087.7713259</c:v>
                </c:pt>
                <c:pt idx="29">
                  <c:v>-1107765.8294964</c:v>
                </c:pt>
                <c:pt idx="30">
                  <c:v>-1047443.88766691</c:v>
                </c:pt>
                <c:pt idx="31">
                  <c:v>-987121.945837406</c:v>
                </c:pt>
                <c:pt idx="32">
                  <c:v>-926800.004007907</c:v>
                </c:pt>
                <c:pt idx="33">
                  <c:v>-866478.062178408</c:v>
                </c:pt>
                <c:pt idx="34">
                  <c:v>-806156.120348909</c:v>
                </c:pt>
                <c:pt idx="35">
                  <c:v>-745834.17851941</c:v>
                </c:pt>
                <c:pt idx="36">
                  <c:v>-685512.23668991</c:v>
                </c:pt>
                <c:pt idx="37">
                  <c:v>-625190.294860411</c:v>
                </c:pt>
                <c:pt idx="38">
                  <c:v>-564868.353030912</c:v>
                </c:pt>
                <c:pt idx="39">
                  <c:v>-504546.411201413</c:v>
                </c:pt>
                <c:pt idx="40">
                  <c:v>-444224.469371913</c:v>
                </c:pt>
                <c:pt idx="41">
                  <c:v>-383902.527542414</c:v>
                </c:pt>
                <c:pt idx="42">
                  <c:v>-323580.585712915</c:v>
                </c:pt>
                <c:pt idx="43">
                  <c:v>-263258.643883416</c:v>
                </c:pt>
                <c:pt idx="44">
                  <c:v>-202936.702053916</c:v>
                </c:pt>
                <c:pt idx="45">
                  <c:v>-142614.760224417</c:v>
                </c:pt>
                <c:pt idx="46">
                  <c:v>-82292.8183949179</c:v>
                </c:pt>
                <c:pt idx="47">
                  <c:v>-21970.8765654186</c:v>
                </c:pt>
                <c:pt idx="48">
                  <c:v>38351.0652640806</c:v>
                </c:pt>
                <c:pt idx="49">
                  <c:v>98673.0070935799</c:v>
                </c:pt>
                <c:pt idx="50">
                  <c:v>158994.948923079</c:v>
                </c:pt>
                <c:pt idx="51">
                  <c:v>219316.890752578</c:v>
                </c:pt>
                <c:pt idx="52">
                  <c:v>279638.832582078</c:v>
                </c:pt>
                <c:pt idx="53">
                  <c:v>339960.774411577</c:v>
                </c:pt>
                <c:pt idx="54">
                  <c:v>400282.716241076</c:v>
                </c:pt>
                <c:pt idx="55">
                  <c:v>460604.658070575</c:v>
                </c:pt>
                <c:pt idx="56">
                  <c:v>520926.599900075</c:v>
                </c:pt>
                <c:pt idx="57">
                  <c:v>581248.541729574</c:v>
                </c:pt>
                <c:pt idx="58">
                  <c:v>641570.483559073</c:v>
                </c:pt>
                <c:pt idx="59">
                  <c:v>701892.425388572</c:v>
                </c:pt>
                <c:pt idx="60">
                  <c:v>762214.367218072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1608594"/>
        <c:axId val="15676903"/>
      </c:lineChart>
      <c:catAx>
        <c:axId val="916085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Months after opening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676903"/>
        <c:crosses val="autoZero"/>
        <c:auto val="1"/>
        <c:lblAlgn val="ctr"/>
        <c:lblOffset val="100"/>
        <c:noMultiLvlLbl val="0"/>
      </c:catAx>
      <c:valAx>
        <c:axId val="156769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608594"/>
        <c:crosses val="autoZero"/>
        <c:crossBetween val="between"/>
      </c:valAx>
      <c:spPr>
        <a:ln w="0">
          <a:noFill/>
        </a:ln>
      </c:spPr>
    </c:plotArea>
    <c:plotVisOnly val="1"/>
    <c:dispBlanksAs val="gap"/>
  </c:chart>
  <c:spPr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Cash in the bank, 13 weeks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ln w="28080">
              <a:solidFill>
                <a:srgbClr val="2E845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Cash!$H$12:$T$12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Cash!$H$28:$T$28</c:f>
              <c:numCache>
                <c:formatCode>\$#,##0,\K;[RED]"($"#,##0,"K)";\-</c:formatCode>
                <c:ptCount val="13"/>
                <c:pt idx="0">
                  <c:v>611553.192248345</c:v>
                </c:pt>
                <c:pt idx="1">
                  <c:v>744963.804998198</c:v>
                </c:pt>
                <c:pt idx="2">
                  <c:v>734250.647872111</c:v>
                </c:pt>
                <c:pt idx="3">
                  <c:v>857870.56626951</c:v>
                </c:pt>
                <c:pt idx="4">
                  <c:v>467974.342902395</c:v>
                </c:pt>
                <c:pt idx="5">
                  <c:v>353849.626690761</c:v>
                </c:pt>
                <c:pt idx="6">
                  <c:v>100491.509167962</c:v>
                </c:pt>
                <c:pt idx="7">
                  <c:v>-12930.3002815043</c:v>
                </c:pt>
                <c:pt idx="8">
                  <c:v>-266288.417804304</c:v>
                </c:pt>
                <c:pt idx="9">
                  <c:v>-514710.22725377</c:v>
                </c:pt>
                <c:pt idx="10">
                  <c:v>-768068.344776569</c:v>
                </c:pt>
                <c:pt idx="11">
                  <c:v>-881490.154226035</c:v>
                </c:pt>
                <c:pt idx="12">
                  <c:v>-1134848.27174883</c:v>
                </c:pt>
              </c:numCache>
            </c:numRef>
          </c:val>
          <c:smooth val="0"/>
        </c:ser>
        <c:ser>
          <c:idx val="1"/>
          <c:order val="1"/>
          <c:spPr>
            <a:ln w="11880">
              <a:solidFill>
                <a:srgbClr val="9E9E9E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Cash!$H$12:$T$12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Cash!$H$29:$T$29</c:f>
              <c:numCache>
                <c:formatCode>\$#,##0,\K;[RED]"($"#,##0,"K)";\-</c:formatCode>
                <c:ptCount val="13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6177931"/>
        <c:axId val="6816990"/>
      </c:lineChart>
      <c:catAx>
        <c:axId val="7617793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Week (dashed line: the cash cushion)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16990"/>
        <c:crosses val="autoZero"/>
        <c:auto val="1"/>
        <c:lblAlgn val="ctr"/>
        <c:lblOffset val="100"/>
        <c:noMultiLvlLbl val="0"/>
      </c:catAx>
      <c:valAx>
        <c:axId val="68169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177931"/>
        <c:crosses val="autoZero"/>
        <c:crossBetween val="between"/>
      </c:valAx>
      <c:spPr>
        <a:ln w="0">
          <a:noFill/>
        </a:ln>
      </c:spPr>
    </c:plotArea>
    <c:plotVisOnly val="1"/>
    <c:dispBlanksAs val="gap"/>
  </c:chart>
  <c:spPr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Days of stock on hand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2E845A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Inventory!$A$11:$A$18</c:f>
              <c:strCache>
                <c:ptCount val="8"/>
                <c:pt idx="0">
                  <c:v>Produce</c:v>
                </c:pt>
                <c:pt idx="1">
                  <c:v>Meat &amp; Seafood</c:v>
                </c:pt>
                <c:pt idx="2">
                  <c:v>Dairy &amp; Eggs</c:v>
                </c:pt>
                <c:pt idx="3">
                  <c:v>Pantry</c:v>
                </c:pt>
                <c:pt idx="4">
                  <c:v>Snacks</c:v>
                </c:pt>
                <c:pt idx="5">
                  <c:v>Beverages &amp; Juices</c:v>
                </c:pt>
                <c:pt idx="6">
                  <c:v>Supplements</c:v>
                </c:pt>
                <c:pt idx="7">
                  <c:v>Beauty &amp; Body</c:v>
                </c:pt>
              </c:strCache>
            </c:strRef>
          </c:cat>
          <c:val>
            <c:numRef>
              <c:f>Inventory!$D$11:$D$18</c:f>
              <c:numCache>
                <c:formatCode>0.0;[RED]\-0.0;\-</c:formatCode>
                <c:ptCount val="8"/>
                <c:pt idx="0">
                  <c:v>12.2959071298084</c:v>
                </c:pt>
                <c:pt idx="1">
                  <c:v>18.2117061363545</c:v>
                </c:pt>
                <c:pt idx="2">
                  <c:v>15.4875251996797</c:v>
                </c:pt>
                <c:pt idx="3">
                  <c:v>23.1219458932331</c:v>
                </c:pt>
                <c:pt idx="4">
                  <c:v>18.7153734371892</c:v>
                </c:pt>
                <c:pt idx="5">
                  <c:v>15.2171945987896</c:v>
                </c:pt>
                <c:pt idx="6">
                  <c:v>46.7133938748045</c:v>
                </c:pt>
                <c:pt idx="7">
                  <c:v>64.5312961832706</c:v>
                </c:pt>
              </c:numCache>
            </c:numRef>
          </c:val>
        </c:ser>
        <c:gapWidth val="60"/>
        <c:overlap val="0"/>
        <c:axId val="31144829"/>
        <c:axId val="73250544"/>
      </c:barChart>
      <c:catAx>
        <c:axId val="3114482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250544"/>
        <c:crosses val="autoZero"/>
        <c:auto val="1"/>
        <c:lblAlgn val="ctr"/>
        <c:lblOffset val="100"/>
        <c:noMultiLvlLbl val="0"/>
      </c:catAx>
      <c:valAx>
        <c:axId val="732505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144829"/>
        <c:crosses val="autoZero"/>
        <c:crossBetween val="between"/>
      </c:valAx>
      <c:spPr>
        <a:ln w="0">
          <a:noFill/>
        </a:ln>
      </c:spPr>
    </c:plotArea>
    <c:plotVisOnly val="1"/>
    <c:dispBlanksAs val="gap"/>
  </c:chart>
  <c:spPr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9</xdr:row>
      <xdr:rowOff>0</xdr:rowOff>
    </xdr:from>
    <xdr:to>
      <xdr:col>2</xdr:col>
      <xdr:colOff>906840</xdr:colOff>
      <xdr:row>21</xdr:row>
      <xdr:rowOff>89640</xdr:rowOff>
    </xdr:to>
    <xdr:graphicFrame>
      <xdr:nvGraphicFramePr>
        <xdr:cNvPr id="1" name="Chart 1"/>
        <xdr:cNvGraphicFramePr/>
      </xdr:nvGraphicFramePr>
      <xdr:xfrm>
        <a:off x="0" y="1953720"/>
        <a:ext cx="2951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9</xdr:row>
      <xdr:rowOff>0</xdr:rowOff>
    </xdr:from>
    <xdr:to>
      <xdr:col>5</xdr:col>
      <xdr:colOff>907200</xdr:colOff>
      <xdr:row>21</xdr:row>
      <xdr:rowOff>89640</xdr:rowOff>
    </xdr:to>
    <xdr:graphicFrame>
      <xdr:nvGraphicFramePr>
        <xdr:cNvPr id="2" name="Chart 2"/>
        <xdr:cNvGraphicFramePr/>
      </xdr:nvGraphicFramePr>
      <xdr:xfrm>
        <a:off x="3067200" y="1953720"/>
        <a:ext cx="2951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9</xdr:row>
      <xdr:rowOff>0</xdr:rowOff>
    </xdr:from>
    <xdr:to>
      <xdr:col>8</xdr:col>
      <xdr:colOff>906840</xdr:colOff>
      <xdr:row>21</xdr:row>
      <xdr:rowOff>89640</xdr:rowOff>
    </xdr:to>
    <xdr:graphicFrame>
      <xdr:nvGraphicFramePr>
        <xdr:cNvPr id="3" name="Chart 3"/>
        <xdr:cNvGraphicFramePr/>
      </xdr:nvGraphicFramePr>
      <xdr:xfrm>
        <a:off x="6134040" y="1953720"/>
        <a:ext cx="2951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E45"/>
    <pageSetUpPr fitToPage="true"/>
  </sheetPr>
  <dimension ref="A1:I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9" min="1" style="0" width="14.5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5" t="s">
        <v>4</v>
      </c>
      <c r="G4" s="6" t="str">
        <f aca="false">checks_status</f>
        <v>All 14 checks pass</v>
      </c>
      <c r="H4" s="6"/>
    </row>
    <row r="6" customFormat="false" ht="15" hidden="false" customHeight="false" outlineLevel="0" collapsed="false">
      <c r="A6" s="7" t="s">
        <v>5</v>
      </c>
      <c r="B6" s="7"/>
      <c r="C6" s="7" t="s">
        <v>6</v>
      </c>
      <c r="D6" s="7"/>
      <c r="E6" s="7" t="s">
        <v>7</v>
      </c>
      <c r="F6" s="7"/>
      <c r="G6" s="7" t="s">
        <v>8</v>
      </c>
      <c r="H6" s="7"/>
    </row>
    <row r="7" customFormat="false" ht="31.5" hidden="false" customHeight="true" outlineLevel="0" collapsed="false">
      <c r="A7" s="8" t="str">
        <f aca="false">IF(ISNUMBER(ns_payback),ns_payback&amp;" months","Over 60 months")</f>
        <v>48 months</v>
      </c>
      <c r="B7" s="8"/>
      <c r="C7" s="9" t="n">
        <f aca="false">cash_funding</f>
        <v>1384848.27174883</v>
      </c>
      <c r="D7" s="9"/>
      <c r="E7" s="9" t="n">
        <f aca="false">slow_total</f>
        <v>165260.11</v>
      </c>
      <c r="F7" s="9"/>
      <c r="G7" s="9" t="n">
        <f aca="false">price_gp_year</f>
        <v>40496.1544041599</v>
      </c>
      <c r="H7" s="9"/>
    </row>
    <row r="8" customFormat="false" ht="15" hidden="false" customHeight="false" outlineLevel="0" collapsed="false">
      <c r="A8" s="7" t="str">
        <f aca="false">"on an investment of "&amp;TEXT(ns_invest,"$#,##0")</f>
        <v>on an investment of $2,350,000</v>
      </c>
      <c r="B8" s="7"/>
      <c r="C8" s="7" t="str">
        <f aca="false">"lowest cash: "&amp;TEXT(cash_low,"$#,##0;-$#,##0")</f>
        <v>lowest cash: -$1,134,848</v>
      </c>
      <c r="D8" s="7"/>
      <c r="E8" s="7" t="str">
        <f aca="false">TEXT(slow_share,"0%")&amp;" of stock; "&amp;TEXT(inv_days,"0")&amp;" days on hand"</f>
        <v>37% of stock; 24 days on hand</v>
      </c>
      <c r="F8" s="7"/>
      <c r="G8" s="7" t="str">
        <f aca="false">category&amp;" at "&amp;TEXT(price_change,"+0%;-0%")</f>
        <v>Meat &amp; Seafood at +3%</v>
      </c>
      <c r="H8" s="7"/>
    </row>
    <row r="25" customFormat="false" ht="15" hidden="false" customHeight="false" outlineLevel="0" collapsed="false">
      <c r="A25" s="10" t="s">
        <v>9</v>
      </c>
      <c r="B25" s="11"/>
      <c r="C25" s="11"/>
      <c r="D25" s="11"/>
      <c r="E25" s="11"/>
      <c r="F25" s="11"/>
      <c r="G25" s="11"/>
      <c r="H25" s="11"/>
      <c r="I25" s="11"/>
    </row>
    <row r="26" customFormat="false" ht="15" hidden="false" customHeight="false" outlineLevel="0" collapsed="false">
      <c r="A26" s="12" t="str">
        <f aca="false">"A new store costs "&amp;TEXT(ns_invest,"$#,##0")&amp;" and "&amp;IF(ISNUMBER(ns_payback),"pays back in "&amp;ns_payback&amp;" months.","does not pay back within 5 years.")</f>
        <v>A new store costs $2,350,000 and pays back in 48 months.</v>
      </c>
    </row>
    <row r="27" customFormat="false" ht="15" hidden="false" customHeight="false" outlineLevel="0" collapsed="false">
      <c r="A27" s="12" t="str">
        <f aca="false">IF(build_start=0,"No new store build is planned in the next 13 weeks.",IF(cash_funding&gt;0,"Starting the build in week "&amp;build_start&amp;" needs about "&amp;TEXT(cash_funding,"$#,##0")&amp;" of outside funding to keep "&amp;TEXT(cash_cushion,"$#,##0")&amp;" in the bank.","The build starting in week "&amp;build_start&amp;" can be paid from cash, staying above the "&amp;TEXT(cash_cushion,"$#,##0")&amp;" cushion."))</f>
        <v>Starting the build in week 5 needs about $1,384,848 of outside funding to keep $250,000 in the bank.</v>
      </c>
    </row>
    <row r="28" customFormat="false" ht="15" hidden="false" customHeight="false" outlineLevel="0" collapsed="false">
      <c r="A28" s="12" t="str">
        <f aca="false">TEXT(slow_total,"$#,##0")&amp;" of stock is slow, "&amp;TEXT(slow_share,"0%")&amp;" of everything on the shelf. Most of it is in "&amp;slow_top&amp;"."</f>
        <v>$165,260 of stock is slow, 37% of everything on the shelf. Most of it is in Supplements.</v>
      </c>
    </row>
    <row r="29" customFormat="false" ht="15" hidden="false" customHeight="false" outlineLevel="0" collapsed="false">
      <c r="A29" s="12" t="str">
        <f aca="false">"Changing "&amp;category&amp;" prices by "&amp;TEXT(price_change,"+0%;-0%")&amp;" changes gross profit by "&amp;TEXT(price_gp_year,"$#,##0;-$#,##0")&amp;" a year."</f>
        <v>Changing Meat &amp; Seafood prices by +3% changes gross profit by $40,496 a year.</v>
      </c>
    </row>
    <row r="31" customFormat="false" ht="15" hidden="false" customHeight="false" outlineLevel="0" collapsed="false">
      <c r="A31" s="10" t="s">
        <v>10</v>
      </c>
      <c r="B31" s="11"/>
      <c r="C31" s="11"/>
      <c r="D31" s="11"/>
      <c r="E31" s="11"/>
      <c r="F31" s="11"/>
      <c r="G31" s="11"/>
      <c r="H31" s="11"/>
      <c r="I31" s="11"/>
    </row>
    <row r="32" customFormat="false" ht="15" hidden="false" customHeight="false" outlineLevel="0" collapsed="false">
      <c r="A32" s="13" t="s">
        <v>11</v>
      </c>
    </row>
    <row r="33" customFormat="false" ht="15" hidden="false" customHeight="false" outlineLevel="0" collapsed="false">
      <c r="A33" s="12" t="s">
        <v>12</v>
      </c>
    </row>
    <row r="34" customFormat="false" ht="15" hidden="false" customHeight="false" outlineLevel="0" collapsed="false">
      <c r="A34" s="14" t="s">
        <v>13</v>
      </c>
      <c r="B34" s="14"/>
    </row>
    <row r="35" customFormat="false" ht="15" hidden="false" customHeight="false" outlineLevel="0" collapsed="false">
      <c r="A35" s="2" t="s">
        <v>14</v>
      </c>
    </row>
  </sheetData>
  <mergeCells count="14">
    <mergeCell ref="G4:H4"/>
    <mergeCell ref="A6:B6"/>
    <mergeCell ref="C6:D6"/>
    <mergeCell ref="E6:F6"/>
    <mergeCell ref="G6:H6"/>
    <mergeCell ref="A7:B7"/>
    <mergeCell ref="C7:D7"/>
    <mergeCell ref="E7:F7"/>
    <mergeCell ref="G7:H7"/>
    <mergeCell ref="A8:B8"/>
    <mergeCell ref="C8:D8"/>
    <mergeCell ref="E8:F8"/>
    <mergeCell ref="G8:H8"/>
    <mergeCell ref="A34:B34"/>
  </mergeCells>
  <conditionalFormatting sqref="G4">
    <cfRule type="expression" priority="2" aboveAverage="0" equalAverage="0" bottom="0" percent="0" rank="0" text="" dxfId="0">
      <formula>LEFT($G$4,3)="All"</formula>
    </cfRule>
    <cfRule type="expression" priority="3" aboveAverage="0" equalAverage="0" bottom="0" percent="0" rank="0" text="" dxfId="1">
      <formula>LEFT($G$4,3)&lt;&gt;"All"</formula>
    </cfRule>
  </conditionalFormatting>
  <dataValidations count="1">
    <dataValidation allowBlank="false" error="Pick Base, Upside or Downside." errorStyle="stop" errorTitle="Scenario" operator="between" showDropDown="false" showErrorMessage="false" showInputMessage="false" sqref="B4" type="list">
      <formula1>"Base,Upside,Downside"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45A"/>
    <pageSetUpPr fitToPage="true"/>
  </sheetPr>
  <dimension ref="A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0"/>
    <col collapsed="false" customWidth="true" hidden="false" outlineLevel="0" max="6" min="3" style="0" width="11"/>
    <col collapsed="false" customWidth="true" hidden="false" outlineLevel="0" max="7" min="7" style="0" width="12"/>
    <col collapsed="false" customWidth="true" hidden="false" outlineLevel="0" max="8" min="8" style="0" width="78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2" t="s">
        <v>16</v>
      </c>
    </row>
    <row r="4" customFormat="false" ht="15" hidden="false" customHeight="false" outlineLevel="0" collapsed="false">
      <c r="A4" s="3" t="s">
        <v>2</v>
      </c>
      <c r="C4" s="15" t="str">
        <f aca="false">scenario</f>
        <v>Base</v>
      </c>
    </row>
    <row r="6" customFormat="false" ht="15" hidden="false" customHeight="false" outlineLevel="0" collapsed="false">
      <c r="A6" s="16" t="s">
        <v>17</v>
      </c>
      <c r="B6" s="16" t="s">
        <v>18</v>
      </c>
      <c r="C6" s="17" t="s">
        <v>19</v>
      </c>
      <c r="D6" s="17" t="s">
        <v>3</v>
      </c>
      <c r="E6" s="17" t="s">
        <v>20</v>
      </c>
      <c r="F6" s="17" t="s">
        <v>21</v>
      </c>
      <c r="G6" s="17" t="s">
        <v>22</v>
      </c>
      <c r="H6" s="18" t="s">
        <v>23</v>
      </c>
    </row>
    <row r="7" customFormat="false" ht="15" hidden="false" customHeight="false" outlineLevel="0" collapsed="false">
      <c r="A7" s="10" t="s">
        <v>24</v>
      </c>
      <c r="B7" s="11"/>
      <c r="C7" s="11"/>
      <c r="D7" s="11"/>
      <c r="E7" s="11"/>
      <c r="F7" s="11"/>
      <c r="G7" s="11"/>
      <c r="H7" s="11"/>
    </row>
    <row r="8" customFormat="false" ht="15" hidden="false" customHeight="false" outlineLevel="0" collapsed="false">
      <c r="A8" s="12" t="s">
        <v>25</v>
      </c>
      <c r="B8" s="5" t="s">
        <v>26</v>
      </c>
      <c r="C8" s="19" t="n">
        <f aca="false">INDEX(D8:F8,MATCH(scenario,$D$6:$F$6,0))</f>
        <v>1</v>
      </c>
      <c r="D8" s="20" t="n">
        <v>1</v>
      </c>
      <c r="E8" s="20" t="n">
        <v>1.1</v>
      </c>
      <c r="F8" s="20" t="n">
        <v>0.85</v>
      </c>
      <c r="H8" s="5" t="s">
        <v>27</v>
      </c>
    </row>
    <row r="9" customFormat="false" ht="15" hidden="false" customHeight="false" outlineLevel="0" collapsed="false">
      <c r="A9" s="12" t="s">
        <v>28</v>
      </c>
      <c r="B9" s="5" t="s">
        <v>29</v>
      </c>
      <c r="C9" s="19" t="n">
        <f aca="false">INDEX(D9:F9,MATCH(scenario,$D$6:$F$6,0))</f>
        <v>0.6</v>
      </c>
      <c r="D9" s="20" t="n">
        <v>0.6</v>
      </c>
      <c r="E9" s="20" t="n">
        <v>0.7</v>
      </c>
      <c r="F9" s="20" t="n">
        <v>0.5</v>
      </c>
      <c r="G9" s="21" t="n">
        <f aca="false">IF(s1_per_day=0,0,(s3_per_day/sqft_s3)/(s1_per_day/sqft_s1))</f>
        <v>0.607548402810125</v>
      </c>
      <c r="H9" s="5" t="s">
        <v>30</v>
      </c>
    </row>
    <row r="10" customFormat="false" ht="15" hidden="false" customHeight="false" outlineLevel="0" collapsed="false">
      <c r="A10" s="12" t="s">
        <v>31</v>
      </c>
      <c r="B10" s="5" t="s">
        <v>32</v>
      </c>
      <c r="C10" s="22" t="n">
        <f aca="false">INDEX(D10:F10,MATCH(scenario,$D$6:$F$6,0))</f>
        <v>18</v>
      </c>
      <c r="D10" s="23" t="n">
        <v>18</v>
      </c>
      <c r="E10" s="23" t="n">
        <v>12</v>
      </c>
      <c r="F10" s="23" t="n">
        <v>24</v>
      </c>
      <c r="H10" s="5" t="s">
        <v>33</v>
      </c>
    </row>
    <row r="11" customFormat="false" ht="15" hidden="false" customHeight="false" outlineLevel="0" collapsed="false">
      <c r="A11" s="12" t="s">
        <v>34</v>
      </c>
      <c r="B11" s="5" t="s">
        <v>35</v>
      </c>
      <c r="C11" s="24" t="n">
        <f aca="false">INDEX(D11:F11,MATCH(scenario,$D$6:$F$6,0))</f>
        <v>250</v>
      </c>
      <c r="D11" s="25" t="n">
        <v>250</v>
      </c>
      <c r="E11" s="25" t="n">
        <v>225</v>
      </c>
      <c r="F11" s="25" t="n">
        <v>300</v>
      </c>
      <c r="H11" s="5" t="s">
        <v>36</v>
      </c>
    </row>
    <row r="13" customFormat="false" ht="15" hidden="false" customHeight="false" outlineLevel="0" collapsed="false">
      <c r="A13" s="10" t="s">
        <v>37</v>
      </c>
      <c r="B13" s="11"/>
      <c r="C13" s="11"/>
      <c r="D13" s="11"/>
      <c r="E13" s="11"/>
      <c r="F13" s="11"/>
      <c r="G13" s="11"/>
      <c r="H13" s="11"/>
    </row>
    <row r="14" customFormat="false" ht="15" hidden="false" customHeight="false" outlineLevel="0" collapsed="false">
      <c r="A14" s="12" t="s">
        <v>38</v>
      </c>
      <c r="B14" s="5" t="s">
        <v>39</v>
      </c>
      <c r="C14" s="26" t="n">
        <f aca="false">INDEX(D14:F14,MATCH(scenario,$D$6:$F$6,0))</f>
        <v>0.19</v>
      </c>
      <c r="D14" s="27" t="n">
        <v>0.19</v>
      </c>
      <c r="E14" s="27" t="n">
        <v>0.18</v>
      </c>
      <c r="F14" s="27" t="n">
        <v>0.21</v>
      </c>
      <c r="H14" s="5" t="s">
        <v>40</v>
      </c>
    </row>
    <row r="15" customFormat="false" ht="15" hidden="false" customHeight="false" outlineLevel="0" collapsed="false">
      <c r="A15" s="12" t="s">
        <v>41</v>
      </c>
      <c r="B15" s="5" t="s">
        <v>42</v>
      </c>
      <c r="C15" s="24" t="n">
        <f aca="false">INDEX(D15:F15,MATCH(scenario,$D$6:$F$6,0))</f>
        <v>60</v>
      </c>
      <c r="D15" s="25" t="n">
        <v>60</v>
      </c>
      <c r="E15" s="25" t="n">
        <v>55</v>
      </c>
      <c r="F15" s="25" t="n">
        <v>70</v>
      </c>
      <c r="H15" s="5" t="s">
        <v>43</v>
      </c>
    </row>
    <row r="16" customFormat="false" ht="15" hidden="false" customHeight="false" outlineLevel="0" collapsed="false">
      <c r="A16" s="12" t="s">
        <v>44</v>
      </c>
      <c r="B16" s="5" t="s">
        <v>39</v>
      </c>
      <c r="C16" s="26" t="n">
        <f aca="false">INDEX(D16:F16,MATCH(scenario,$D$6:$F$6,0))</f>
        <v>0.08</v>
      </c>
      <c r="D16" s="27" t="n">
        <v>0.08</v>
      </c>
      <c r="E16" s="27" t="n">
        <v>0.075</v>
      </c>
      <c r="F16" s="27" t="n">
        <v>0.09</v>
      </c>
      <c r="H16" s="5" t="s">
        <v>45</v>
      </c>
    </row>
    <row r="18" customFormat="false" ht="15" hidden="false" customHeight="false" outlineLevel="0" collapsed="false">
      <c r="A18" s="10" t="s">
        <v>46</v>
      </c>
      <c r="B18" s="11"/>
      <c r="C18" s="11"/>
      <c r="D18" s="11"/>
      <c r="E18" s="11"/>
      <c r="F18" s="11"/>
      <c r="G18" s="11"/>
      <c r="H18" s="11"/>
    </row>
    <row r="19" customFormat="false" ht="15" hidden="false" customHeight="false" outlineLevel="0" collapsed="false">
      <c r="A19" s="12" t="s">
        <v>47</v>
      </c>
      <c r="B19" s="5" t="s">
        <v>48</v>
      </c>
      <c r="C19" s="28" t="n">
        <f aca="false">INDEX(D19:F19,MATCH(scenario,$D$6:$F$6,0))</f>
        <v>0</v>
      </c>
      <c r="D19" s="29" t="n">
        <v>0</v>
      </c>
      <c r="E19" s="29" t="n">
        <v>0.05</v>
      </c>
      <c r="F19" s="29" t="n">
        <v>-0.1</v>
      </c>
      <c r="H19" s="5" t="s">
        <v>49</v>
      </c>
    </row>
    <row r="21" customFormat="false" ht="15" hidden="false" customHeight="false" outlineLevel="0" collapsed="false">
      <c r="A21" s="10" t="s">
        <v>50</v>
      </c>
      <c r="B21" s="11"/>
      <c r="C21" s="11"/>
      <c r="D21" s="11"/>
      <c r="E21" s="11"/>
      <c r="F21" s="11"/>
      <c r="G21" s="11"/>
      <c r="H21" s="11"/>
    </row>
    <row r="22" customFormat="false" ht="15" hidden="false" customHeight="false" outlineLevel="0" collapsed="false">
      <c r="A22" s="12" t="s">
        <v>51</v>
      </c>
      <c r="B22" s="5" t="s">
        <v>52</v>
      </c>
      <c r="C22" s="30" t="n">
        <v>12000</v>
      </c>
      <c r="H22" s="5" t="s">
        <v>53</v>
      </c>
    </row>
    <row r="23" customFormat="false" ht="15" hidden="false" customHeight="false" outlineLevel="0" collapsed="false">
      <c r="A23" s="12" t="s">
        <v>54</v>
      </c>
      <c r="B23" s="5" t="s">
        <v>52</v>
      </c>
      <c r="C23" s="30" t="n">
        <v>8500</v>
      </c>
    </row>
    <row r="24" customFormat="false" ht="15" hidden="false" customHeight="false" outlineLevel="0" collapsed="false">
      <c r="A24" s="12" t="s">
        <v>55</v>
      </c>
      <c r="B24" s="5" t="s">
        <v>52</v>
      </c>
      <c r="C24" s="30" t="n">
        <v>6500</v>
      </c>
    </row>
    <row r="25" customFormat="false" ht="15" hidden="false" customHeight="false" outlineLevel="0" collapsed="false">
      <c r="A25" s="12" t="s">
        <v>56</v>
      </c>
      <c r="B25" s="5" t="s">
        <v>52</v>
      </c>
      <c r="C25" s="30" t="n">
        <v>8000</v>
      </c>
    </row>
    <row r="26" customFormat="false" ht="15" hidden="false" customHeight="false" outlineLevel="0" collapsed="false">
      <c r="A26" s="12" t="s">
        <v>57</v>
      </c>
      <c r="B26" s="5" t="s">
        <v>58</v>
      </c>
      <c r="C26" s="31" t="n">
        <v>350000</v>
      </c>
      <c r="H26" s="5" t="s">
        <v>59</v>
      </c>
    </row>
    <row r="27" customFormat="false" ht="15" hidden="false" customHeight="false" outlineLevel="0" collapsed="false">
      <c r="A27" s="12" t="s">
        <v>60</v>
      </c>
      <c r="B27" s="5" t="s">
        <v>61</v>
      </c>
      <c r="C27" s="32" t="n">
        <v>0.85</v>
      </c>
      <c r="H27" s="5" t="s">
        <v>62</v>
      </c>
    </row>
    <row r="28" customFormat="false" ht="15" hidden="false" customHeight="false" outlineLevel="0" collapsed="false">
      <c r="A28" s="12" t="s">
        <v>63</v>
      </c>
      <c r="B28" s="5" t="s">
        <v>39</v>
      </c>
      <c r="C28" s="33" t="n">
        <v>0.05</v>
      </c>
      <c r="H28" s="5" t="s">
        <v>64</v>
      </c>
    </row>
    <row r="29" customFormat="false" ht="15" hidden="false" customHeight="false" outlineLevel="0" collapsed="false">
      <c r="A29" s="12" t="s">
        <v>65</v>
      </c>
      <c r="B29" s="5" t="s">
        <v>58</v>
      </c>
      <c r="C29" s="31" t="n">
        <v>750000</v>
      </c>
      <c r="H29" s="5" t="s">
        <v>43</v>
      </c>
    </row>
    <row r="30" customFormat="false" ht="15" hidden="false" customHeight="false" outlineLevel="0" collapsed="false">
      <c r="A30" s="12" t="s">
        <v>66</v>
      </c>
      <c r="B30" s="5" t="s">
        <v>58</v>
      </c>
      <c r="C30" s="31" t="n">
        <v>250000</v>
      </c>
      <c r="H30" s="5" t="s">
        <v>67</v>
      </c>
    </row>
    <row r="31" customFormat="false" ht="15" hidden="false" customHeight="false" outlineLevel="0" collapsed="false">
      <c r="A31" s="12" t="s">
        <v>68</v>
      </c>
      <c r="B31" s="5" t="s">
        <v>69</v>
      </c>
      <c r="C31" s="34" t="n">
        <v>5</v>
      </c>
      <c r="H31" s="5" t="s">
        <v>70</v>
      </c>
    </row>
    <row r="32" customFormat="false" ht="15" hidden="false" customHeight="false" outlineLevel="0" collapsed="false">
      <c r="A32" s="12" t="s">
        <v>71</v>
      </c>
      <c r="B32" s="5" t="s">
        <v>72</v>
      </c>
      <c r="C32" s="34" t="n">
        <v>10</v>
      </c>
    </row>
    <row r="34" customFormat="false" ht="15" hidden="false" customHeight="false" outlineLevel="0" collapsed="false">
      <c r="A34" s="2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45A"/>
    <pageSetUpPr fitToPage="false"/>
  </sheetPr>
  <dimension ref="A1:BK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3"/>
    <col collapsed="false" customWidth="true" hidden="false" outlineLevel="0" max="63" min="7" style="0" width="10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tr">
        <f aca="false">"One new store, month by month for 5 years. Scenario: "&amp;scenario</f>
        <v>One new store, month by month for 5 years. Scenario: Base</v>
      </c>
    </row>
    <row r="4" customFormat="false" ht="15" hidden="false" customHeight="false" outlineLevel="0" collapsed="false">
      <c r="A4" s="10" t="s">
        <v>75</v>
      </c>
      <c r="B4" s="11"/>
      <c r="C4" s="11"/>
      <c r="D4" s="11"/>
      <c r="E4" s="11"/>
      <c r="F4" s="11"/>
    </row>
    <row r="5" customFormat="false" ht="15" hidden="false" customHeight="false" outlineLevel="0" collapsed="false">
      <c r="A5" s="12" t="s">
        <v>76</v>
      </c>
      <c r="B5" s="35" t="n">
        <f aca="false">sqft_new</f>
        <v>8000</v>
      </c>
    </row>
    <row r="6" customFormat="false" ht="15" hidden="false" customHeight="false" outlineLevel="0" collapsed="false">
      <c r="A6" s="12" t="s">
        <v>77</v>
      </c>
      <c r="B6" s="36" t="n">
        <f aca="false">IF(sqft_s1=0,0,flag_runrate/sqft_s1)</f>
        <v>791.398272222222</v>
      </c>
    </row>
    <row r="7" customFormat="false" ht="15" hidden="false" customHeight="false" outlineLevel="0" collapsed="false">
      <c r="A7" s="12" t="s">
        <v>25</v>
      </c>
      <c r="B7" s="21" t="n">
        <f aca="false">prod</f>
        <v>1</v>
      </c>
    </row>
    <row r="8" customFormat="false" ht="15" hidden="false" customHeight="false" outlineLevel="0" collapsed="false">
      <c r="A8" s="12" t="s">
        <v>78</v>
      </c>
      <c r="B8" s="36" t="n">
        <f aca="false">B5*B6*B7</f>
        <v>6331186.17777778</v>
      </c>
    </row>
    <row r="9" customFormat="false" ht="15" hidden="false" customHeight="false" outlineLevel="0" collapsed="false">
      <c r="A9" s="12" t="s">
        <v>79</v>
      </c>
      <c r="B9" s="37" t="n">
        <f aca="false">gm_actual</f>
        <v>0.478932607068384</v>
      </c>
    </row>
    <row r="10" customFormat="false" ht="15" hidden="false" customHeight="false" outlineLevel="0" collapsed="false">
      <c r="A10" s="12" t="s">
        <v>34</v>
      </c>
      <c r="B10" s="36" t="n">
        <f aca="false">B5*buildout_psf</f>
        <v>2000000</v>
      </c>
    </row>
    <row r="11" customFormat="false" ht="15" hidden="false" customHeight="false" outlineLevel="0" collapsed="false">
      <c r="A11" s="12" t="s">
        <v>57</v>
      </c>
      <c r="B11" s="38" t="n">
        <f aca="false">opening_costs</f>
        <v>350000</v>
      </c>
    </row>
    <row r="12" customFormat="false" ht="15" hidden="false" customHeight="false" outlineLevel="0" collapsed="false">
      <c r="A12" s="3" t="s">
        <v>80</v>
      </c>
      <c r="B12" s="24" t="n">
        <f aca="false">B10+B11</f>
        <v>2350000</v>
      </c>
    </row>
    <row r="14" customFormat="false" ht="15" hidden="false" customHeight="false" outlineLevel="0" collapsed="false">
      <c r="A14" s="10" t="s">
        <v>81</v>
      </c>
      <c r="B14" s="11"/>
      <c r="C14" s="11"/>
      <c r="D14" s="11"/>
      <c r="E14" s="11"/>
      <c r="F14" s="11"/>
    </row>
    <row r="15" customFormat="false" ht="15" hidden="false" customHeight="false" outlineLevel="0" collapsed="false">
      <c r="A15" s="12" t="s">
        <v>82</v>
      </c>
      <c r="B15" s="39" t="n">
        <f aca="false">IF(MIN($D56:$BK56)&gt;60,"Over 60",MIN($D56:$BK56))</f>
        <v>48</v>
      </c>
    </row>
    <row r="16" customFormat="false" ht="15" hidden="false" customHeight="false" outlineLevel="0" collapsed="false">
      <c r="A16" s="12" t="s">
        <v>83</v>
      </c>
      <c r="B16" s="40" t="n">
        <f aca="false">D29</f>
        <v>723863.301953991</v>
      </c>
    </row>
    <row r="17" customFormat="false" ht="15" hidden="false" customHeight="false" outlineLevel="0" collapsed="false">
      <c r="A17" s="12" t="s">
        <v>84</v>
      </c>
      <c r="B17" s="41" t="n">
        <f aca="false">IF(ns_invest=0,0,D29/ns_invest)</f>
        <v>0.308026937001698</v>
      </c>
    </row>
    <row r="18" customFormat="false" ht="15" hidden="false" customHeight="false" outlineLevel="0" collapsed="false">
      <c r="A18" s="12" t="s">
        <v>85</v>
      </c>
      <c r="B18" s="41" t="n">
        <f aca="false">IF(ns_mature_sales=0,0,ns_gm-waste_actual-labor_pct-other_pct-sqft_new*rent_psf/ns_mature_sales)</f>
        <v>0.114332967255761</v>
      </c>
    </row>
    <row r="20" customFormat="false" ht="15" hidden="false" customHeight="false" outlineLevel="0" collapsed="false">
      <c r="A20" s="10" t="s">
        <v>86</v>
      </c>
      <c r="B20" s="11"/>
      <c r="C20" s="11"/>
      <c r="D20" s="11"/>
      <c r="E20" s="11"/>
      <c r="F20" s="11"/>
    </row>
    <row r="22" customFormat="false" ht="15" hidden="false" customHeight="false" outlineLevel="0" collapsed="false">
      <c r="B22" s="42" t="n">
        <v>1</v>
      </c>
      <c r="C22" s="42" t="n">
        <v>2</v>
      </c>
      <c r="D22" s="42" t="n">
        <v>3</v>
      </c>
      <c r="E22" s="42" t="n">
        <v>4</v>
      </c>
      <c r="F22" s="42" t="n">
        <v>5</v>
      </c>
    </row>
    <row r="23" customFormat="false" ht="15" hidden="false" customHeight="false" outlineLevel="0" collapsed="false">
      <c r="A23" s="12" t="s">
        <v>87</v>
      </c>
      <c r="B23" s="36" t="n">
        <f aca="false">SUMIF($D$44:$BK$44,B$22,$D46:$BK46)</f>
        <v>4618041.68261438</v>
      </c>
      <c r="C23" s="36" t="n">
        <f aca="false">SUMIF($D$44:$BK$44,C$22,$D46:$BK46)</f>
        <v>6144974.81960784</v>
      </c>
      <c r="D23" s="36" t="n">
        <f aca="false">SUMIF($D$44:$BK$44,D$22,$D46:$BK46)</f>
        <v>6331186.17777778</v>
      </c>
      <c r="E23" s="36" t="n">
        <f aca="false">SUMIF($D$44:$BK$44,E$22,$D46:$BK46)</f>
        <v>6331186.17777778</v>
      </c>
      <c r="F23" s="36" t="n">
        <f aca="false">SUMIF($D$44:$BK$44,F$22,$D46:$BK46)</f>
        <v>6331186.17777778</v>
      </c>
    </row>
    <row r="24" customFormat="false" ht="15" hidden="false" customHeight="false" outlineLevel="0" collapsed="false">
      <c r="A24" s="12" t="s">
        <v>88</v>
      </c>
      <c r="B24" s="36" t="n">
        <f aca="false">SUMIF($D$44:$BK$44,B$22,$D47:$BK47)</f>
        <v>2211730.74260497</v>
      </c>
      <c r="C24" s="36" t="n">
        <f aca="false">SUMIF($D$44:$BK$44,C$22,$D47:$BK47)</f>
        <v>2943028.81072436</v>
      </c>
      <c r="D24" s="36" t="n">
        <f aca="false">SUMIF($D$44:$BK$44,D$22,$D47:$BK47)</f>
        <v>3032211.50195843</v>
      </c>
      <c r="E24" s="36" t="n">
        <f aca="false">SUMIF($D$44:$BK$44,E$22,$D47:$BK47)</f>
        <v>3032211.50195843</v>
      </c>
      <c r="F24" s="36" t="n">
        <f aca="false">SUMIF($D$44:$BK$44,F$22,$D47:$BK47)</f>
        <v>3032211.50195843</v>
      </c>
    </row>
    <row r="25" customFormat="false" ht="15" hidden="false" customHeight="false" outlineLevel="0" collapsed="false">
      <c r="A25" s="12" t="s">
        <v>89</v>
      </c>
      <c r="B25" s="36" t="n">
        <f aca="false">SUMIF($D$44:$BK$44,B$22,$D48:$BK48)</f>
        <v>86747.4327561781</v>
      </c>
      <c r="C25" s="36" t="n">
        <f aca="false">SUMIF($D$44:$BK$44,C$22,$D48:$BK48)</f>
        <v>115430.051651366</v>
      </c>
      <c r="D25" s="36" t="n">
        <f aca="false">SUMIF($D$44:$BK$44,D$22,$D48:$BK48)</f>
        <v>118927.932004438</v>
      </c>
      <c r="E25" s="36" t="n">
        <f aca="false">SUMIF($D$44:$BK$44,E$22,$D48:$BK48)</f>
        <v>118927.932004438</v>
      </c>
      <c r="F25" s="36" t="n">
        <f aca="false">SUMIF($D$44:$BK$44,F$22,$D48:$BK48)</f>
        <v>118927.932004438</v>
      </c>
    </row>
    <row r="26" customFormat="false" ht="15" hidden="false" customHeight="false" outlineLevel="0" collapsed="false">
      <c r="A26" s="12" t="s">
        <v>90</v>
      </c>
      <c r="B26" s="36" t="n">
        <f aca="false">SUMIF($D$44:$BK$44,B$22,$D49:$BK49)</f>
        <v>1023371.07166242</v>
      </c>
      <c r="C26" s="36" t="n">
        <f aca="false">SUMIF($D$44:$BK$44,C$22,$D49:$BK49)</f>
        <v>1167545.21572549</v>
      </c>
      <c r="D26" s="36" t="n">
        <f aca="false">SUMIF($D$44:$BK$44,D$22,$D49:$BK49)</f>
        <v>1202925.37377778</v>
      </c>
      <c r="E26" s="36" t="n">
        <f aca="false">SUMIF($D$44:$BK$44,E$22,$D49:$BK49)</f>
        <v>1202925.37377778</v>
      </c>
      <c r="F26" s="36" t="n">
        <f aca="false">SUMIF($D$44:$BK$44,F$22,$D49:$BK49)</f>
        <v>1202925.37377778</v>
      </c>
    </row>
    <row r="27" customFormat="false" ht="15" hidden="false" customHeight="false" outlineLevel="0" collapsed="false">
      <c r="A27" s="12" t="s">
        <v>41</v>
      </c>
      <c r="B27" s="36" t="n">
        <f aca="false">SUMIF($D$44:$BK$44,B$22,$D50:$BK50)</f>
        <v>480000</v>
      </c>
      <c r="C27" s="36" t="n">
        <f aca="false">SUMIF($D$44:$BK$44,C$22,$D50:$BK50)</f>
        <v>480000</v>
      </c>
      <c r="D27" s="36" t="n">
        <f aca="false">SUMIF($D$44:$BK$44,D$22,$D50:$BK50)</f>
        <v>480000</v>
      </c>
      <c r="E27" s="36" t="n">
        <f aca="false">SUMIF($D$44:$BK$44,E$22,$D50:$BK50)</f>
        <v>480000</v>
      </c>
      <c r="F27" s="36" t="n">
        <f aca="false">SUMIF($D$44:$BK$44,F$22,$D50:$BK50)</f>
        <v>480000</v>
      </c>
    </row>
    <row r="28" customFormat="false" ht="15" hidden="false" customHeight="false" outlineLevel="0" collapsed="false">
      <c r="A28" s="12" t="s">
        <v>44</v>
      </c>
      <c r="B28" s="36" t="n">
        <f aca="false">SUMIF($D$44:$BK$44,B$22,$D51:$BK51)</f>
        <v>369443.33460915</v>
      </c>
      <c r="C28" s="36" t="n">
        <f aca="false">SUMIF($D$44:$BK$44,C$22,$D51:$BK51)</f>
        <v>491597.985568627</v>
      </c>
      <c r="D28" s="36" t="n">
        <f aca="false">SUMIF($D$44:$BK$44,D$22,$D51:$BK51)</f>
        <v>506494.894222222</v>
      </c>
      <c r="E28" s="36" t="n">
        <f aca="false">SUMIF($D$44:$BK$44,E$22,$D51:$BK51)</f>
        <v>506494.894222222</v>
      </c>
      <c r="F28" s="36" t="n">
        <f aca="false">SUMIF($D$44:$BK$44,F$22,$D51:$BK51)</f>
        <v>506494.894222222</v>
      </c>
    </row>
    <row r="29" customFormat="false" ht="15" hidden="false" customHeight="false" outlineLevel="0" collapsed="false">
      <c r="A29" s="43" t="s">
        <v>91</v>
      </c>
      <c r="B29" s="44" t="n">
        <f aca="false">SUMIF($D$44:$BK$44,B$22,$D52:$BK52)</f>
        <v>252168.903577225</v>
      </c>
      <c r="C29" s="44" t="n">
        <f aca="false">SUMIF($D$44:$BK$44,C$22,$D52:$BK52)</f>
        <v>688455.557778874</v>
      </c>
      <c r="D29" s="44" t="n">
        <f aca="false">SUMIF($D$44:$BK$44,D$22,$D52:$BK52)</f>
        <v>723863.301953991</v>
      </c>
      <c r="E29" s="44" t="n">
        <f aca="false">SUMIF($D$44:$BK$44,E$22,$D52:$BK52)</f>
        <v>723863.301953991</v>
      </c>
      <c r="F29" s="44" t="n">
        <f aca="false">SUMIF($D$44:$BK$44,F$22,$D52:$BK52)</f>
        <v>723863.301953991</v>
      </c>
    </row>
    <row r="30" customFormat="false" ht="15" hidden="false" customHeight="false" outlineLevel="0" collapsed="false">
      <c r="A30" s="12" t="s">
        <v>92</v>
      </c>
      <c r="B30" s="45" t="n">
        <f aca="false">IF(B23=0,0,B29/B23)</f>
        <v>0.0546051596993093</v>
      </c>
      <c r="C30" s="45" t="n">
        <f aca="false">IF(C23=0,0,C29/C23)</f>
        <v>0.112035537652994</v>
      </c>
      <c r="D30" s="45" t="n">
        <f aca="false">IF(D23=0,0,D29/D23)</f>
        <v>0.114332967255761</v>
      </c>
      <c r="E30" s="45" t="n">
        <f aca="false">IF(E23=0,0,E29/E23)</f>
        <v>0.114332967255761</v>
      </c>
      <c r="F30" s="45" t="n">
        <f aca="false">IF(F23=0,0,F29/F23)</f>
        <v>0.114332967255761</v>
      </c>
    </row>
    <row r="31" customFormat="false" ht="15" hidden="false" customHeight="false" outlineLevel="0" collapsed="false">
      <c r="A31" s="12" t="s">
        <v>93</v>
      </c>
      <c r="B31" s="36" t="n">
        <f aca="false">INDEX($D55:$BK55,MATCH(B22*12,$D$43:$BK$43,0))</f>
        <v>-2097831.09642278</v>
      </c>
      <c r="C31" s="36" t="n">
        <f aca="false">INDEX($D55:$BK55,MATCH(C22*12,$D$43:$BK$43,0))</f>
        <v>-1409375.5386439</v>
      </c>
      <c r="D31" s="36" t="n">
        <f aca="false">INDEX($D55:$BK55,MATCH(D22*12,$D$43:$BK$43,0))</f>
        <v>-685512.23668991</v>
      </c>
      <c r="E31" s="36" t="n">
        <f aca="false">INDEX($D55:$BK55,MATCH(E22*12,$D$43:$BK$43,0))</f>
        <v>38351.0652640806</v>
      </c>
      <c r="F31" s="36" t="n">
        <f aca="false">INDEX($D55:$BK55,MATCH(F22*12,$D$43:$BK$43,0))</f>
        <v>762214.367218072</v>
      </c>
    </row>
    <row r="33" customFormat="false" ht="15" hidden="false" customHeight="false" outlineLevel="0" collapsed="false">
      <c r="A33" s="10" t="s">
        <v>94</v>
      </c>
      <c r="B33" s="11"/>
      <c r="C33" s="11"/>
      <c r="D33" s="11"/>
      <c r="E33" s="11"/>
      <c r="F33" s="11"/>
    </row>
    <row r="34" customFormat="false" ht="15" hidden="false" customHeight="false" outlineLevel="0" collapsed="false">
      <c r="A34" s="2" t="s">
        <v>95</v>
      </c>
    </row>
    <row r="35" customFormat="false" ht="15" hidden="false" customHeight="false" outlineLevel="0" collapsed="false">
      <c r="A35" s="3" t="s">
        <v>96</v>
      </c>
      <c r="B35" s="46" t="n">
        <f aca="false">ns_gm-0.02</f>
        <v>0.458932607068384</v>
      </c>
      <c r="C35" s="46" t="n">
        <f aca="false">ns_gm-0.01</f>
        <v>0.468932607068384</v>
      </c>
      <c r="D35" s="46" t="n">
        <f aca="false">ns_gm</f>
        <v>0.478932607068384</v>
      </c>
      <c r="E35" s="46" t="n">
        <f aca="false">ns_gm+0.01</f>
        <v>0.488932607068384</v>
      </c>
      <c r="F35" s="46" t="n">
        <f aca="false">ns_gm+0.02</f>
        <v>0.498932607068384</v>
      </c>
    </row>
    <row r="36" customFormat="false" ht="15" hidden="false" customHeight="false" outlineLevel="0" collapsed="false">
      <c r="A36" s="47" t="n">
        <f aca="false">prod-0.2</f>
        <v>0.8</v>
      </c>
      <c r="B36" s="48" t="n">
        <f aca="false">$B$5*$B$6*$A36*(B$35-waste_actual-labor_pct-other_pct)-$B$5*rent_psf</f>
        <v>381791.662718749</v>
      </c>
      <c r="C36" s="48" t="n">
        <f aca="false">$B$5*$B$6*$A36*(C$35-waste_actual-labor_pct-other_pct)-$B$5*rent_psf</f>
        <v>432441.152140971</v>
      </c>
      <c r="D36" s="48" t="n">
        <f aca="false">$B$5*$B$6*$A36*(D$35-waste_actual-labor_pct-other_pct)-$B$5*rent_psf</f>
        <v>483090.641563193</v>
      </c>
      <c r="E36" s="48" t="n">
        <f aca="false">$B$5*$B$6*$A36*(E$35-waste_actual-labor_pct-other_pct)-$B$5*rent_psf</f>
        <v>533740.130985415</v>
      </c>
      <c r="F36" s="48" t="n">
        <f aca="false">$B$5*$B$6*$A36*(F$35-waste_actual-labor_pct-other_pct)-$B$5*rent_psf</f>
        <v>584389.620407638</v>
      </c>
    </row>
    <row r="37" customFormat="false" ht="15" hidden="false" customHeight="false" outlineLevel="0" collapsed="false">
      <c r="A37" s="47" t="n">
        <f aca="false">prod-0.1</f>
        <v>0.9</v>
      </c>
      <c r="B37" s="48" t="n">
        <f aca="false">$B$5*$B$6*$A37*(B$35-waste_actual-labor_pct-other_pct)-$B$5*rent_psf</f>
        <v>489515.620558592</v>
      </c>
      <c r="C37" s="48" t="n">
        <f aca="false">$B$5*$B$6*$A37*(C$35-waste_actual-labor_pct-other_pct)-$B$5*rent_psf</f>
        <v>546496.296158592</v>
      </c>
      <c r="D37" s="48" t="n">
        <f aca="false">$B$5*$B$6*$A37*(D$35-waste_actual-labor_pct-other_pct)-$B$5*rent_psf</f>
        <v>603476.971758592</v>
      </c>
      <c r="E37" s="48" t="n">
        <f aca="false">$B$5*$B$6*$A37*(E$35-waste_actual-labor_pct-other_pct)-$B$5*rent_psf</f>
        <v>660457.647358592</v>
      </c>
      <c r="F37" s="48" t="n">
        <f aca="false">$B$5*$B$6*$A37*(F$35-waste_actual-labor_pct-other_pct)-$B$5*rent_psf</f>
        <v>717438.322958592</v>
      </c>
    </row>
    <row r="38" customFormat="false" ht="15" hidden="false" customHeight="false" outlineLevel="0" collapsed="false">
      <c r="A38" s="47" t="n">
        <f aca="false">prod</f>
        <v>1</v>
      </c>
      <c r="B38" s="48" t="n">
        <f aca="false">$B$5*$B$6*$A38*(B$35-waste_actual-labor_pct-other_pct)-$B$5*rent_psf</f>
        <v>597239.578398436</v>
      </c>
      <c r="C38" s="48" t="n">
        <f aca="false">$B$5*$B$6*$A38*(C$35-waste_actual-labor_pct-other_pct)-$B$5*rent_psf</f>
        <v>660551.440176213</v>
      </c>
      <c r="D38" s="49" t="n">
        <f aca="false">$B$5*$B$6*$A38*(D$35-waste_actual-labor_pct-other_pct)-$B$5*rent_psf</f>
        <v>723863.301953991</v>
      </c>
      <c r="E38" s="48" t="n">
        <f aca="false">$B$5*$B$6*$A38*(E$35-waste_actual-labor_pct-other_pct)-$B$5*rent_psf</f>
        <v>787175.163731769</v>
      </c>
      <c r="F38" s="48" t="n">
        <f aca="false">$B$5*$B$6*$A38*(F$35-waste_actual-labor_pct-other_pct)-$B$5*rent_psf</f>
        <v>850487.025509547</v>
      </c>
    </row>
    <row r="39" customFormat="false" ht="15" hidden="false" customHeight="false" outlineLevel="0" collapsed="false">
      <c r="A39" s="47" t="n">
        <f aca="false">prod+0.1</f>
        <v>1.1</v>
      </c>
      <c r="B39" s="48" t="n">
        <f aca="false">$B$5*$B$6*$A39*(B$35-waste_actual-labor_pct-other_pct)-$B$5*rent_psf</f>
        <v>704963.536238279</v>
      </c>
      <c r="C39" s="48" t="n">
        <f aca="false">$B$5*$B$6*$A39*(C$35-waste_actual-labor_pct-other_pct)-$B$5*rent_psf</f>
        <v>774606.584193835</v>
      </c>
      <c r="D39" s="48" t="n">
        <f aca="false">$B$5*$B$6*$A39*(D$35-waste_actual-labor_pct-other_pct)-$B$5*rent_psf</f>
        <v>844249.63214939</v>
      </c>
      <c r="E39" s="48" t="n">
        <f aca="false">$B$5*$B$6*$A39*(E$35-waste_actual-labor_pct-other_pct)-$B$5*rent_psf</f>
        <v>913892.680104946</v>
      </c>
      <c r="F39" s="48" t="n">
        <f aca="false">$B$5*$B$6*$A39*(F$35-waste_actual-labor_pct-other_pct)-$B$5*rent_psf</f>
        <v>983535.728060502</v>
      </c>
    </row>
    <row r="40" customFormat="false" ht="15" hidden="false" customHeight="false" outlineLevel="0" collapsed="false">
      <c r="A40" s="47" t="n">
        <f aca="false">prod+0.2</f>
        <v>1.2</v>
      </c>
      <c r="B40" s="48" t="n">
        <f aca="false">$B$5*$B$6*$A40*(B$35-waste_actual-labor_pct-other_pct)-$B$5*rent_psf</f>
        <v>812687.494078123</v>
      </c>
      <c r="C40" s="48" t="n">
        <f aca="false">$B$5*$B$6*$A40*(C$35-waste_actual-labor_pct-other_pct)-$B$5*rent_psf</f>
        <v>888661.728211456</v>
      </c>
      <c r="D40" s="48" t="n">
        <f aca="false">$B$5*$B$6*$A40*(D$35-waste_actual-labor_pct-other_pct)-$B$5*rent_psf</f>
        <v>964635.962344789</v>
      </c>
      <c r="E40" s="48" t="n">
        <f aca="false">$B$5*$B$6*$A40*(E$35-waste_actual-labor_pct-other_pct)-$B$5*rent_psf</f>
        <v>1040610.19647812</v>
      </c>
      <c r="F40" s="48" t="n">
        <f aca="false">$B$5*$B$6*$A40*(F$35-waste_actual-labor_pct-other_pct)-$B$5*rent_psf</f>
        <v>1116584.43061146</v>
      </c>
    </row>
    <row r="42" customFormat="false" ht="15" hidden="false" customHeight="false" outlineLevel="0" collapsed="false">
      <c r="A42" s="10" t="s">
        <v>97</v>
      </c>
      <c r="B42" s="11"/>
      <c r="C42" s="11"/>
      <c r="D42" s="11"/>
      <c r="E42" s="11"/>
      <c r="F42" s="11"/>
    </row>
    <row r="43" customFormat="false" ht="15" hidden="false" customHeight="false" outlineLevel="0" collapsed="false">
      <c r="A43" s="3" t="s">
        <v>98</v>
      </c>
      <c r="C43" s="34" t="n">
        <v>0</v>
      </c>
      <c r="D43" s="50" t="n">
        <f aca="false">C43+1</f>
        <v>1</v>
      </c>
      <c r="E43" s="50" t="n">
        <f aca="false">D43+1</f>
        <v>2</v>
      </c>
      <c r="F43" s="50" t="n">
        <f aca="false">E43+1</f>
        <v>3</v>
      </c>
      <c r="G43" s="50" t="n">
        <f aca="false">F43+1</f>
        <v>4</v>
      </c>
      <c r="H43" s="50" t="n">
        <f aca="false">G43+1</f>
        <v>5</v>
      </c>
      <c r="I43" s="50" t="n">
        <f aca="false">H43+1</f>
        <v>6</v>
      </c>
      <c r="J43" s="50" t="n">
        <f aca="false">I43+1</f>
        <v>7</v>
      </c>
      <c r="K43" s="50" t="n">
        <f aca="false">J43+1</f>
        <v>8</v>
      </c>
      <c r="L43" s="50" t="n">
        <f aca="false">K43+1</f>
        <v>9</v>
      </c>
      <c r="M43" s="50" t="n">
        <f aca="false">L43+1</f>
        <v>10</v>
      </c>
      <c r="N43" s="50" t="n">
        <f aca="false">M43+1</f>
        <v>11</v>
      </c>
      <c r="O43" s="50" t="n">
        <f aca="false">N43+1</f>
        <v>12</v>
      </c>
      <c r="P43" s="50" t="n">
        <f aca="false">O43+1</f>
        <v>13</v>
      </c>
      <c r="Q43" s="50" t="n">
        <f aca="false">P43+1</f>
        <v>14</v>
      </c>
      <c r="R43" s="50" t="n">
        <f aca="false">Q43+1</f>
        <v>15</v>
      </c>
      <c r="S43" s="50" t="n">
        <f aca="false">R43+1</f>
        <v>16</v>
      </c>
      <c r="T43" s="50" t="n">
        <f aca="false">S43+1</f>
        <v>17</v>
      </c>
      <c r="U43" s="50" t="n">
        <f aca="false">T43+1</f>
        <v>18</v>
      </c>
      <c r="V43" s="50" t="n">
        <f aca="false">U43+1</f>
        <v>19</v>
      </c>
      <c r="W43" s="50" t="n">
        <f aca="false">V43+1</f>
        <v>20</v>
      </c>
      <c r="X43" s="50" t="n">
        <f aca="false">W43+1</f>
        <v>21</v>
      </c>
      <c r="Y43" s="50" t="n">
        <f aca="false">X43+1</f>
        <v>22</v>
      </c>
      <c r="Z43" s="50" t="n">
        <f aca="false">Y43+1</f>
        <v>23</v>
      </c>
      <c r="AA43" s="50" t="n">
        <f aca="false">Z43+1</f>
        <v>24</v>
      </c>
      <c r="AB43" s="50" t="n">
        <f aca="false">AA43+1</f>
        <v>25</v>
      </c>
      <c r="AC43" s="50" t="n">
        <f aca="false">AB43+1</f>
        <v>26</v>
      </c>
      <c r="AD43" s="50" t="n">
        <f aca="false">AC43+1</f>
        <v>27</v>
      </c>
      <c r="AE43" s="50" t="n">
        <f aca="false">AD43+1</f>
        <v>28</v>
      </c>
      <c r="AF43" s="50" t="n">
        <f aca="false">AE43+1</f>
        <v>29</v>
      </c>
      <c r="AG43" s="50" t="n">
        <f aca="false">AF43+1</f>
        <v>30</v>
      </c>
      <c r="AH43" s="50" t="n">
        <f aca="false">AG43+1</f>
        <v>31</v>
      </c>
      <c r="AI43" s="50" t="n">
        <f aca="false">AH43+1</f>
        <v>32</v>
      </c>
      <c r="AJ43" s="50" t="n">
        <f aca="false">AI43+1</f>
        <v>33</v>
      </c>
      <c r="AK43" s="50" t="n">
        <f aca="false">AJ43+1</f>
        <v>34</v>
      </c>
      <c r="AL43" s="50" t="n">
        <f aca="false">AK43+1</f>
        <v>35</v>
      </c>
      <c r="AM43" s="50" t="n">
        <f aca="false">AL43+1</f>
        <v>36</v>
      </c>
      <c r="AN43" s="50" t="n">
        <f aca="false">AM43+1</f>
        <v>37</v>
      </c>
      <c r="AO43" s="50" t="n">
        <f aca="false">AN43+1</f>
        <v>38</v>
      </c>
      <c r="AP43" s="50" t="n">
        <f aca="false">AO43+1</f>
        <v>39</v>
      </c>
      <c r="AQ43" s="50" t="n">
        <f aca="false">AP43+1</f>
        <v>40</v>
      </c>
      <c r="AR43" s="50" t="n">
        <f aca="false">AQ43+1</f>
        <v>41</v>
      </c>
      <c r="AS43" s="50" t="n">
        <f aca="false">AR43+1</f>
        <v>42</v>
      </c>
      <c r="AT43" s="50" t="n">
        <f aca="false">AS43+1</f>
        <v>43</v>
      </c>
      <c r="AU43" s="50" t="n">
        <f aca="false">AT43+1</f>
        <v>44</v>
      </c>
      <c r="AV43" s="50" t="n">
        <f aca="false">AU43+1</f>
        <v>45</v>
      </c>
      <c r="AW43" s="50" t="n">
        <f aca="false">AV43+1</f>
        <v>46</v>
      </c>
      <c r="AX43" s="50" t="n">
        <f aca="false">AW43+1</f>
        <v>47</v>
      </c>
      <c r="AY43" s="50" t="n">
        <f aca="false">AX43+1</f>
        <v>48</v>
      </c>
      <c r="AZ43" s="50" t="n">
        <f aca="false">AY43+1</f>
        <v>49</v>
      </c>
      <c r="BA43" s="50" t="n">
        <f aca="false">AZ43+1</f>
        <v>50</v>
      </c>
      <c r="BB43" s="50" t="n">
        <f aca="false">BA43+1</f>
        <v>51</v>
      </c>
      <c r="BC43" s="50" t="n">
        <f aca="false">BB43+1</f>
        <v>52</v>
      </c>
      <c r="BD43" s="50" t="n">
        <f aca="false">BC43+1</f>
        <v>53</v>
      </c>
      <c r="BE43" s="50" t="n">
        <f aca="false">BD43+1</f>
        <v>54</v>
      </c>
      <c r="BF43" s="50" t="n">
        <f aca="false">BE43+1</f>
        <v>55</v>
      </c>
      <c r="BG43" s="50" t="n">
        <f aca="false">BF43+1</f>
        <v>56</v>
      </c>
      <c r="BH43" s="50" t="n">
        <f aca="false">BG43+1</f>
        <v>57</v>
      </c>
      <c r="BI43" s="50" t="n">
        <f aca="false">BH43+1</f>
        <v>58</v>
      </c>
      <c r="BJ43" s="50" t="n">
        <f aca="false">BI43+1</f>
        <v>59</v>
      </c>
      <c r="BK43" s="50" t="n">
        <f aca="false">BJ43+1</f>
        <v>60</v>
      </c>
    </row>
    <row r="44" customFormat="false" ht="15" hidden="false" customHeight="false" outlineLevel="0" collapsed="false">
      <c r="A44" s="12" t="s">
        <v>99</v>
      </c>
      <c r="C44" s="51" t="n">
        <v>0</v>
      </c>
      <c r="D44" s="52" t="n">
        <f aca="false">ROUNDUP(D43/12,0)</f>
        <v>1</v>
      </c>
      <c r="E44" s="52" t="n">
        <f aca="false">ROUNDUP(E43/12,0)</f>
        <v>1</v>
      </c>
      <c r="F44" s="52" t="n">
        <f aca="false">ROUNDUP(F43/12,0)</f>
        <v>1</v>
      </c>
      <c r="G44" s="52" t="n">
        <f aca="false">ROUNDUP(G43/12,0)</f>
        <v>1</v>
      </c>
      <c r="H44" s="52" t="n">
        <f aca="false">ROUNDUP(H43/12,0)</f>
        <v>1</v>
      </c>
      <c r="I44" s="52" t="n">
        <f aca="false">ROUNDUP(I43/12,0)</f>
        <v>1</v>
      </c>
      <c r="J44" s="52" t="n">
        <f aca="false">ROUNDUP(J43/12,0)</f>
        <v>1</v>
      </c>
      <c r="K44" s="52" t="n">
        <f aca="false">ROUNDUP(K43/12,0)</f>
        <v>1</v>
      </c>
      <c r="L44" s="52" t="n">
        <f aca="false">ROUNDUP(L43/12,0)</f>
        <v>1</v>
      </c>
      <c r="M44" s="52" t="n">
        <f aca="false">ROUNDUP(M43/12,0)</f>
        <v>1</v>
      </c>
      <c r="N44" s="52" t="n">
        <f aca="false">ROUNDUP(N43/12,0)</f>
        <v>1</v>
      </c>
      <c r="O44" s="52" t="n">
        <f aca="false">ROUNDUP(O43/12,0)</f>
        <v>1</v>
      </c>
      <c r="P44" s="52" t="n">
        <f aca="false">ROUNDUP(P43/12,0)</f>
        <v>2</v>
      </c>
      <c r="Q44" s="52" t="n">
        <f aca="false">ROUNDUP(Q43/12,0)</f>
        <v>2</v>
      </c>
      <c r="R44" s="52" t="n">
        <f aca="false">ROUNDUP(R43/12,0)</f>
        <v>2</v>
      </c>
      <c r="S44" s="52" t="n">
        <f aca="false">ROUNDUP(S43/12,0)</f>
        <v>2</v>
      </c>
      <c r="T44" s="52" t="n">
        <f aca="false">ROUNDUP(T43/12,0)</f>
        <v>2</v>
      </c>
      <c r="U44" s="52" t="n">
        <f aca="false">ROUNDUP(U43/12,0)</f>
        <v>2</v>
      </c>
      <c r="V44" s="52" t="n">
        <f aca="false">ROUNDUP(V43/12,0)</f>
        <v>2</v>
      </c>
      <c r="W44" s="52" t="n">
        <f aca="false">ROUNDUP(W43/12,0)</f>
        <v>2</v>
      </c>
      <c r="X44" s="52" t="n">
        <f aca="false">ROUNDUP(X43/12,0)</f>
        <v>2</v>
      </c>
      <c r="Y44" s="52" t="n">
        <f aca="false">ROUNDUP(Y43/12,0)</f>
        <v>2</v>
      </c>
      <c r="Z44" s="52" t="n">
        <f aca="false">ROUNDUP(Z43/12,0)</f>
        <v>2</v>
      </c>
      <c r="AA44" s="52" t="n">
        <f aca="false">ROUNDUP(AA43/12,0)</f>
        <v>2</v>
      </c>
      <c r="AB44" s="52" t="n">
        <f aca="false">ROUNDUP(AB43/12,0)</f>
        <v>3</v>
      </c>
      <c r="AC44" s="52" t="n">
        <f aca="false">ROUNDUP(AC43/12,0)</f>
        <v>3</v>
      </c>
      <c r="AD44" s="52" t="n">
        <f aca="false">ROUNDUP(AD43/12,0)</f>
        <v>3</v>
      </c>
      <c r="AE44" s="52" t="n">
        <f aca="false">ROUNDUP(AE43/12,0)</f>
        <v>3</v>
      </c>
      <c r="AF44" s="52" t="n">
        <f aca="false">ROUNDUP(AF43/12,0)</f>
        <v>3</v>
      </c>
      <c r="AG44" s="52" t="n">
        <f aca="false">ROUNDUP(AG43/12,0)</f>
        <v>3</v>
      </c>
      <c r="AH44" s="52" t="n">
        <f aca="false">ROUNDUP(AH43/12,0)</f>
        <v>3</v>
      </c>
      <c r="AI44" s="52" t="n">
        <f aca="false">ROUNDUP(AI43/12,0)</f>
        <v>3</v>
      </c>
      <c r="AJ44" s="52" t="n">
        <f aca="false">ROUNDUP(AJ43/12,0)</f>
        <v>3</v>
      </c>
      <c r="AK44" s="52" t="n">
        <f aca="false">ROUNDUP(AK43/12,0)</f>
        <v>3</v>
      </c>
      <c r="AL44" s="52" t="n">
        <f aca="false">ROUNDUP(AL43/12,0)</f>
        <v>3</v>
      </c>
      <c r="AM44" s="52" t="n">
        <f aca="false">ROUNDUP(AM43/12,0)</f>
        <v>3</v>
      </c>
      <c r="AN44" s="52" t="n">
        <f aca="false">ROUNDUP(AN43/12,0)</f>
        <v>4</v>
      </c>
      <c r="AO44" s="52" t="n">
        <f aca="false">ROUNDUP(AO43/12,0)</f>
        <v>4</v>
      </c>
      <c r="AP44" s="52" t="n">
        <f aca="false">ROUNDUP(AP43/12,0)</f>
        <v>4</v>
      </c>
      <c r="AQ44" s="52" t="n">
        <f aca="false">ROUNDUP(AQ43/12,0)</f>
        <v>4</v>
      </c>
      <c r="AR44" s="52" t="n">
        <f aca="false">ROUNDUP(AR43/12,0)</f>
        <v>4</v>
      </c>
      <c r="AS44" s="52" t="n">
        <f aca="false">ROUNDUP(AS43/12,0)</f>
        <v>4</v>
      </c>
      <c r="AT44" s="52" t="n">
        <f aca="false">ROUNDUP(AT43/12,0)</f>
        <v>4</v>
      </c>
      <c r="AU44" s="52" t="n">
        <f aca="false">ROUNDUP(AU43/12,0)</f>
        <v>4</v>
      </c>
      <c r="AV44" s="52" t="n">
        <f aca="false">ROUNDUP(AV43/12,0)</f>
        <v>4</v>
      </c>
      <c r="AW44" s="52" t="n">
        <f aca="false">ROUNDUP(AW43/12,0)</f>
        <v>4</v>
      </c>
      <c r="AX44" s="52" t="n">
        <f aca="false">ROUNDUP(AX43/12,0)</f>
        <v>4</v>
      </c>
      <c r="AY44" s="52" t="n">
        <f aca="false">ROUNDUP(AY43/12,0)</f>
        <v>4</v>
      </c>
      <c r="AZ44" s="52" t="n">
        <f aca="false">ROUNDUP(AZ43/12,0)</f>
        <v>5</v>
      </c>
      <c r="BA44" s="52" t="n">
        <f aca="false">ROUNDUP(BA43/12,0)</f>
        <v>5</v>
      </c>
      <c r="BB44" s="52" t="n">
        <f aca="false">ROUNDUP(BB43/12,0)</f>
        <v>5</v>
      </c>
      <c r="BC44" s="52" t="n">
        <f aca="false">ROUNDUP(BC43/12,0)</f>
        <v>5</v>
      </c>
      <c r="BD44" s="52" t="n">
        <f aca="false">ROUNDUP(BD43/12,0)</f>
        <v>5</v>
      </c>
      <c r="BE44" s="52" t="n">
        <f aca="false">ROUNDUP(BE43/12,0)</f>
        <v>5</v>
      </c>
      <c r="BF44" s="52" t="n">
        <f aca="false">ROUNDUP(BF43/12,0)</f>
        <v>5</v>
      </c>
      <c r="BG44" s="52" t="n">
        <f aca="false">ROUNDUP(BG43/12,0)</f>
        <v>5</v>
      </c>
      <c r="BH44" s="52" t="n">
        <f aca="false">ROUNDUP(BH43/12,0)</f>
        <v>5</v>
      </c>
      <c r="BI44" s="52" t="n">
        <f aca="false">ROUNDUP(BI43/12,0)</f>
        <v>5</v>
      </c>
      <c r="BJ44" s="52" t="n">
        <f aca="false">ROUNDUP(BJ43/12,0)</f>
        <v>5</v>
      </c>
      <c r="BK44" s="52" t="n">
        <f aca="false">ROUNDUP(BK43/12,0)</f>
        <v>5</v>
      </c>
    </row>
    <row r="45" customFormat="false" ht="15" hidden="false" customHeight="false" outlineLevel="0" collapsed="false">
      <c r="A45" s="12" t="s">
        <v>100</v>
      </c>
      <c r="D45" s="53" t="n">
        <f aca="false">IF(D$43&gt;=ramp_months,1,ramp_start+(1-ramp_start)*(D$43-1)/MAX(1,ramp_months-1))</f>
        <v>0.6</v>
      </c>
      <c r="E45" s="53" t="n">
        <f aca="false">IF(E$43&gt;=ramp_months,1,ramp_start+(1-ramp_start)*(E$43-1)/MAX(1,ramp_months-1))</f>
        <v>0.623529411764706</v>
      </c>
      <c r="F45" s="53" t="n">
        <f aca="false">IF(F$43&gt;=ramp_months,1,ramp_start+(1-ramp_start)*(F$43-1)/MAX(1,ramp_months-1))</f>
        <v>0.647058823529412</v>
      </c>
      <c r="G45" s="53" t="n">
        <f aca="false">IF(G$43&gt;=ramp_months,1,ramp_start+(1-ramp_start)*(G$43-1)/MAX(1,ramp_months-1))</f>
        <v>0.670588235294118</v>
      </c>
      <c r="H45" s="53" t="n">
        <f aca="false">IF(H$43&gt;=ramp_months,1,ramp_start+(1-ramp_start)*(H$43-1)/MAX(1,ramp_months-1))</f>
        <v>0.694117647058824</v>
      </c>
      <c r="I45" s="53" t="n">
        <f aca="false">IF(I$43&gt;=ramp_months,1,ramp_start+(1-ramp_start)*(I$43-1)/MAX(1,ramp_months-1))</f>
        <v>0.717647058823529</v>
      </c>
      <c r="J45" s="53" t="n">
        <f aca="false">IF(J$43&gt;=ramp_months,1,ramp_start+(1-ramp_start)*(J$43-1)/MAX(1,ramp_months-1))</f>
        <v>0.741176470588235</v>
      </c>
      <c r="K45" s="53" t="n">
        <f aca="false">IF(K$43&gt;=ramp_months,1,ramp_start+(1-ramp_start)*(K$43-1)/MAX(1,ramp_months-1))</f>
        <v>0.764705882352941</v>
      </c>
      <c r="L45" s="53" t="n">
        <f aca="false">IF(L$43&gt;=ramp_months,1,ramp_start+(1-ramp_start)*(L$43-1)/MAX(1,ramp_months-1))</f>
        <v>0.788235294117647</v>
      </c>
      <c r="M45" s="53" t="n">
        <f aca="false">IF(M$43&gt;=ramp_months,1,ramp_start+(1-ramp_start)*(M$43-1)/MAX(1,ramp_months-1))</f>
        <v>0.811764705882353</v>
      </c>
      <c r="N45" s="53" t="n">
        <f aca="false">IF(N$43&gt;=ramp_months,1,ramp_start+(1-ramp_start)*(N$43-1)/MAX(1,ramp_months-1))</f>
        <v>0.835294117647059</v>
      </c>
      <c r="O45" s="53" t="n">
        <f aca="false">IF(O$43&gt;=ramp_months,1,ramp_start+(1-ramp_start)*(O$43-1)/MAX(1,ramp_months-1))</f>
        <v>0.858823529411765</v>
      </c>
      <c r="P45" s="53" t="n">
        <f aca="false">IF(P$43&gt;=ramp_months,1,ramp_start+(1-ramp_start)*(P$43-1)/MAX(1,ramp_months-1))</f>
        <v>0.882352941176471</v>
      </c>
      <c r="Q45" s="53" t="n">
        <f aca="false">IF(Q$43&gt;=ramp_months,1,ramp_start+(1-ramp_start)*(Q$43-1)/MAX(1,ramp_months-1))</f>
        <v>0.905882352941177</v>
      </c>
      <c r="R45" s="53" t="n">
        <f aca="false">IF(R$43&gt;=ramp_months,1,ramp_start+(1-ramp_start)*(R$43-1)/MAX(1,ramp_months-1))</f>
        <v>0.929411764705882</v>
      </c>
      <c r="S45" s="53" t="n">
        <f aca="false">IF(S$43&gt;=ramp_months,1,ramp_start+(1-ramp_start)*(S$43-1)/MAX(1,ramp_months-1))</f>
        <v>0.952941176470588</v>
      </c>
      <c r="T45" s="53" t="n">
        <f aca="false">IF(T$43&gt;=ramp_months,1,ramp_start+(1-ramp_start)*(T$43-1)/MAX(1,ramp_months-1))</f>
        <v>0.976470588235294</v>
      </c>
      <c r="U45" s="53" t="n">
        <f aca="false">IF(U$43&gt;=ramp_months,1,ramp_start+(1-ramp_start)*(U$43-1)/MAX(1,ramp_months-1))</f>
        <v>1</v>
      </c>
      <c r="V45" s="53" t="n">
        <f aca="false">IF(V$43&gt;=ramp_months,1,ramp_start+(1-ramp_start)*(V$43-1)/MAX(1,ramp_months-1))</f>
        <v>1</v>
      </c>
      <c r="W45" s="53" t="n">
        <f aca="false">IF(W$43&gt;=ramp_months,1,ramp_start+(1-ramp_start)*(W$43-1)/MAX(1,ramp_months-1))</f>
        <v>1</v>
      </c>
      <c r="X45" s="53" t="n">
        <f aca="false">IF(X$43&gt;=ramp_months,1,ramp_start+(1-ramp_start)*(X$43-1)/MAX(1,ramp_months-1))</f>
        <v>1</v>
      </c>
      <c r="Y45" s="53" t="n">
        <f aca="false">IF(Y$43&gt;=ramp_months,1,ramp_start+(1-ramp_start)*(Y$43-1)/MAX(1,ramp_months-1))</f>
        <v>1</v>
      </c>
      <c r="Z45" s="53" t="n">
        <f aca="false">IF(Z$43&gt;=ramp_months,1,ramp_start+(1-ramp_start)*(Z$43-1)/MAX(1,ramp_months-1))</f>
        <v>1</v>
      </c>
      <c r="AA45" s="53" t="n">
        <f aca="false">IF(AA$43&gt;=ramp_months,1,ramp_start+(1-ramp_start)*(AA$43-1)/MAX(1,ramp_months-1))</f>
        <v>1</v>
      </c>
      <c r="AB45" s="53" t="n">
        <f aca="false">IF(AB$43&gt;=ramp_months,1,ramp_start+(1-ramp_start)*(AB$43-1)/MAX(1,ramp_months-1))</f>
        <v>1</v>
      </c>
      <c r="AC45" s="53" t="n">
        <f aca="false">IF(AC$43&gt;=ramp_months,1,ramp_start+(1-ramp_start)*(AC$43-1)/MAX(1,ramp_months-1))</f>
        <v>1</v>
      </c>
      <c r="AD45" s="53" t="n">
        <f aca="false">IF(AD$43&gt;=ramp_months,1,ramp_start+(1-ramp_start)*(AD$43-1)/MAX(1,ramp_months-1))</f>
        <v>1</v>
      </c>
      <c r="AE45" s="53" t="n">
        <f aca="false">IF(AE$43&gt;=ramp_months,1,ramp_start+(1-ramp_start)*(AE$43-1)/MAX(1,ramp_months-1))</f>
        <v>1</v>
      </c>
      <c r="AF45" s="53" t="n">
        <f aca="false">IF(AF$43&gt;=ramp_months,1,ramp_start+(1-ramp_start)*(AF$43-1)/MAX(1,ramp_months-1))</f>
        <v>1</v>
      </c>
      <c r="AG45" s="53" t="n">
        <f aca="false">IF(AG$43&gt;=ramp_months,1,ramp_start+(1-ramp_start)*(AG$43-1)/MAX(1,ramp_months-1))</f>
        <v>1</v>
      </c>
      <c r="AH45" s="53" t="n">
        <f aca="false">IF(AH$43&gt;=ramp_months,1,ramp_start+(1-ramp_start)*(AH$43-1)/MAX(1,ramp_months-1))</f>
        <v>1</v>
      </c>
      <c r="AI45" s="53" t="n">
        <f aca="false">IF(AI$43&gt;=ramp_months,1,ramp_start+(1-ramp_start)*(AI$43-1)/MAX(1,ramp_months-1))</f>
        <v>1</v>
      </c>
      <c r="AJ45" s="53" t="n">
        <f aca="false">IF(AJ$43&gt;=ramp_months,1,ramp_start+(1-ramp_start)*(AJ$43-1)/MAX(1,ramp_months-1))</f>
        <v>1</v>
      </c>
      <c r="AK45" s="53" t="n">
        <f aca="false">IF(AK$43&gt;=ramp_months,1,ramp_start+(1-ramp_start)*(AK$43-1)/MAX(1,ramp_months-1))</f>
        <v>1</v>
      </c>
      <c r="AL45" s="53" t="n">
        <f aca="false">IF(AL$43&gt;=ramp_months,1,ramp_start+(1-ramp_start)*(AL$43-1)/MAX(1,ramp_months-1))</f>
        <v>1</v>
      </c>
      <c r="AM45" s="53" t="n">
        <f aca="false">IF(AM$43&gt;=ramp_months,1,ramp_start+(1-ramp_start)*(AM$43-1)/MAX(1,ramp_months-1))</f>
        <v>1</v>
      </c>
      <c r="AN45" s="53" t="n">
        <f aca="false">IF(AN$43&gt;=ramp_months,1,ramp_start+(1-ramp_start)*(AN$43-1)/MAX(1,ramp_months-1))</f>
        <v>1</v>
      </c>
      <c r="AO45" s="53" t="n">
        <f aca="false">IF(AO$43&gt;=ramp_months,1,ramp_start+(1-ramp_start)*(AO$43-1)/MAX(1,ramp_months-1))</f>
        <v>1</v>
      </c>
      <c r="AP45" s="53" t="n">
        <f aca="false">IF(AP$43&gt;=ramp_months,1,ramp_start+(1-ramp_start)*(AP$43-1)/MAX(1,ramp_months-1))</f>
        <v>1</v>
      </c>
      <c r="AQ45" s="53" t="n">
        <f aca="false">IF(AQ$43&gt;=ramp_months,1,ramp_start+(1-ramp_start)*(AQ$43-1)/MAX(1,ramp_months-1))</f>
        <v>1</v>
      </c>
      <c r="AR45" s="53" t="n">
        <f aca="false">IF(AR$43&gt;=ramp_months,1,ramp_start+(1-ramp_start)*(AR$43-1)/MAX(1,ramp_months-1))</f>
        <v>1</v>
      </c>
      <c r="AS45" s="53" t="n">
        <f aca="false">IF(AS$43&gt;=ramp_months,1,ramp_start+(1-ramp_start)*(AS$43-1)/MAX(1,ramp_months-1))</f>
        <v>1</v>
      </c>
      <c r="AT45" s="53" t="n">
        <f aca="false">IF(AT$43&gt;=ramp_months,1,ramp_start+(1-ramp_start)*(AT$43-1)/MAX(1,ramp_months-1))</f>
        <v>1</v>
      </c>
      <c r="AU45" s="53" t="n">
        <f aca="false">IF(AU$43&gt;=ramp_months,1,ramp_start+(1-ramp_start)*(AU$43-1)/MAX(1,ramp_months-1))</f>
        <v>1</v>
      </c>
      <c r="AV45" s="53" t="n">
        <f aca="false">IF(AV$43&gt;=ramp_months,1,ramp_start+(1-ramp_start)*(AV$43-1)/MAX(1,ramp_months-1))</f>
        <v>1</v>
      </c>
      <c r="AW45" s="53" t="n">
        <f aca="false">IF(AW$43&gt;=ramp_months,1,ramp_start+(1-ramp_start)*(AW$43-1)/MAX(1,ramp_months-1))</f>
        <v>1</v>
      </c>
      <c r="AX45" s="53" t="n">
        <f aca="false">IF(AX$43&gt;=ramp_months,1,ramp_start+(1-ramp_start)*(AX$43-1)/MAX(1,ramp_months-1))</f>
        <v>1</v>
      </c>
      <c r="AY45" s="53" t="n">
        <f aca="false">IF(AY$43&gt;=ramp_months,1,ramp_start+(1-ramp_start)*(AY$43-1)/MAX(1,ramp_months-1))</f>
        <v>1</v>
      </c>
      <c r="AZ45" s="53" t="n">
        <f aca="false">IF(AZ$43&gt;=ramp_months,1,ramp_start+(1-ramp_start)*(AZ$43-1)/MAX(1,ramp_months-1))</f>
        <v>1</v>
      </c>
      <c r="BA45" s="53" t="n">
        <f aca="false">IF(BA$43&gt;=ramp_months,1,ramp_start+(1-ramp_start)*(BA$43-1)/MAX(1,ramp_months-1))</f>
        <v>1</v>
      </c>
      <c r="BB45" s="53" t="n">
        <f aca="false">IF(BB$43&gt;=ramp_months,1,ramp_start+(1-ramp_start)*(BB$43-1)/MAX(1,ramp_months-1))</f>
        <v>1</v>
      </c>
      <c r="BC45" s="53" t="n">
        <f aca="false">IF(BC$43&gt;=ramp_months,1,ramp_start+(1-ramp_start)*(BC$43-1)/MAX(1,ramp_months-1))</f>
        <v>1</v>
      </c>
      <c r="BD45" s="53" t="n">
        <f aca="false">IF(BD$43&gt;=ramp_months,1,ramp_start+(1-ramp_start)*(BD$43-1)/MAX(1,ramp_months-1))</f>
        <v>1</v>
      </c>
      <c r="BE45" s="53" t="n">
        <f aca="false">IF(BE$43&gt;=ramp_months,1,ramp_start+(1-ramp_start)*(BE$43-1)/MAX(1,ramp_months-1))</f>
        <v>1</v>
      </c>
      <c r="BF45" s="53" t="n">
        <f aca="false">IF(BF$43&gt;=ramp_months,1,ramp_start+(1-ramp_start)*(BF$43-1)/MAX(1,ramp_months-1))</f>
        <v>1</v>
      </c>
      <c r="BG45" s="53" t="n">
        <f aca="false">IF(BG$43&gt;=ramp_months,1,ramp_start+(1-ramp_start)*(BG$43-1)/MAX(1,ramp_months-1))</f>
        <v>1</v>
      </c>
      <c r="BH45" s="53" t="n">
        <f aca="false">IF(BH$43&gt;=ramp_months,1,ramp_start+(1-ramp_start)*(BH$43-1)/MAX(1,ramp_months-1))</f>
        <v>1</v>
      </c>
      <c r="BI45" s="53" t="n">
        <f aca="false">IF(BI$43&gt;=ramp_months,1,ramp_start+(1-ramp_start)*(BI$43-1)/MAX(1,ramp_months-1))</f>
        <v>1</v>
      </c>
      <c r="BJ45" s="53" t="n">
        <f aca="false">IF(BJ$43&gt;=ramp_months,1,ramp_start+(1-ramp_start)*(BJ$43-1)/MAX(1,ramp_months-1))</f>
        <v>1</v>
      </c>
      <c r="BK45" s="53" t="n">
        <f aca="false">IF(BK$43&gt;=ramp_months,1,ramp_start+(1-ramp_start)*(BK$43-1)/MAX(1,ramp_months-1))</f>
        <v>1</v>
      </c>
    </row>
    <row r="46" customFormat="false" ht="15" hidden="false" customHeight="false" outlineLevel="0" collapsed="false">
      <c r="A46" s="12" t="s">
        <v>87</v>
      </c>
      <c r="D46" s="48" t="n">
        <f aca="false">ns_mature_sales/12*D45</f>
        <v>316559.308888889</v>
      </c>
      <c r="E46" s="48" t="n">
        <f aca="false">ns_mature_sales/12*E45</f>
        <v>328973.399433551</v>
      </c>
      <c r="F46" s="48" t="n">
        <f aca="false">ns_mature_sales/12*F45</f>
        <v>341387.489978213</v>
      </c>
      <c r="G46" s="48" t="n">
        <f aca="false">ns_mature_sales/12*G45</f>
        <v>353801.580522876</v>
      </c>
      <c r="H46" s="48" t="n">
        <f aca="false">ns_mature_sales/12*H45</f>
        <v>366215.671067538</v>
      </c>
      <c r="I46" s="48" t="n">
        <f aca="false">ns_mature_sales/12*I45</f>
        <v>378629.7616122</v>
      </c>
      <c r="J46" s="48" t="n">
        <f aca="false">ns_mature_sales/12*J45</f>
        <v>391043.852156863</v>
      </c>
      <c r="K46" s="48" t="n">
        <f aca="false">ns_mature_sales/12*K45</f>
        <v>403457.942701525</v>
      </c>
      <c r="L46" s="48" t="n">
        <f aca="false">ns_mature_sales/12*L45</f>
        <v>415872.033246187</v>
      </c>
      <c r="M46" s="48" t="n">
        <f aca="false">ns_mature_sales/12*M45</f>
        <v>428286.12379085</v>
      </c>
      <c r="N46" s="48" t="n">
        <f aca="false">ns_mature_sales/12*N45</f>
        <v>440700.214335512</v>
      </c>
      <c r="O46" s="48" t="n">
        <f aca="false">ns_mature_sales/12*O45</f>
        <v>453114.304880174</v>
      </c>
      <c r="P46" s="48" t="n">
        <f aca="false">ns_mature_sales/12*P45</f>
        <v>465528.395424837</v>
      </c>
      <c r="Q46" s="48" t="n">
        <f aca="false">ns_mature_sales/12*Q45</f>
        <v>477942.485969499</v>
      </c>
      <c r="R46" s="48" t="n">
        <f aca="false">ns_mature_sales/12*R45</f>
        <v>490356.576514161</v>
      </c>
      <c r="S46" s="48" t="n">
        <f aca="false">ns_mature_sales/12*S45</f>
        <v>502770.667058823</v>
      </c>
      <c r="T46" s="48" t="n">
        <f aca="false">ns_mature_sales/12*T45</f>
        <v>515184.757603486</v>
      </c>
      <c r="U46" s="48" t="n">
        <f aca="false">ns_mature_sales/12*U45</f>
        <v>527598.848148148</v>
      </c>
      <c r="V46" s="48" t="n">
        <f aca="false">ns_mature_sales/12*V45</f>
        <v>527598.848148148</v>
      </c>
      <c r="W46" s="48" t="n">
        <f aca="false">ns_mature_sales/12*W45</f>
        <v>527598.848148148</v>
      </c>
      <c r="X46" s="48" t="n">
        <f aca="false">ns_mature_sales/12*X45</f>
        <v>527598.848148148</v>
      </c>
      <c r="Y46" s="48" t="n">
        <f aca="false">ns_mature_sales/12*Y45</f>
        <v>527598.848148148</v>
      </c>
      <c r="Z46" s="48" t="n">
        <f aca="false">ns_mature_sales/12*Z45</f>
        <v>527598.848148148</v>
      </c>
      <c r="AA46" s="48" t="n">
        <f aca="false">ns_mature_sales/12*AA45</f>
        <v>527598.848148148</v>
      </c>
      <c r="AB46" s="48" t="n">
        <f aca="false">ns_mature_sales/12*AB45</f>
        <v>527598.848148148</v>
      </c>
      <c r="AC46" s="48" t="n">
        <f aca="false">ns_mature_sales/12*AC45</f>
        <v>527598.848148148</v>
      </c>
      <c r="AD46" s="48" t="n">
        <f aca="false">ns_mature_sales/12*AD45</f>
        <v>527598.848148148</v>
      </c>
      <c r="AE46" s="48" t="n">
        <f aca="false">ns_mature_sales/12*AE45</f>
        <v>527598.848148148</v>
      </c>
      <c r="AF46" s="48" t="n">
        <f aca="false">ns_mature_sales/12*AF45</f>
        <v>527598.848148148</v>
      </c>
      <c r="AG46" s="48" t="n">
        <f aca="false">ns_mature_sales/12*AG45</f>
        <v>527598.848148148</v>
      </c>
      <c r="AH46" s="48" t="n">
        <f aca="false">ns_mature_sales/12*AH45</f>
        <v>527598.848148148</v>
      </c>
      <c r="AI46" s="48" t="n">
        <f aca="false">ns_mature_sales/12*AI45</f>
        <v>527598.848148148</v>
      </c>
      <c r="AJ46" s="48" t="n">
        <f aca="false">ns_mature_sales/12*AJ45</f>
        <v>527598.848148148</v>
      </c>
      <c r="AK46" s="48" t="n">
        <f aca="false">ns_mature_sales/12*AK45</f>
        <v>527598.848148148</v>
      </c>
      <c r="AL46" s="48" t="n">
        <f aca="false">ns_mature_sales/12*AL45</f>
        <v>527598.848148148</v>
      </c>
      <c r="AM46" s="48" t="n">
        <f aca="false">ns_mature_sales/12*AM45</f>
        <v>527598.848148148</v>
      </c>
      <c r="AN46" s="48" t="n">
        <f aca="false">ns_mature_sales/12*AN45</f>
        <v>527598.848148148</v>
      </c>
      <c r="AO46" s="48" t="n">
        <f aca="false">ns_mature_sales/12*AO45</f>
        <v>527598.848148148</v>
      </c>
      <c r="AP46" s="48" t="n">
        <f aca="false">ns_mature_sales/12*AP45</f>
        <v>527598.848148148</v>
      </c>
      <c r="AQ46" s="48" t="n">
        <f aca="false">ns_mature_sales/12*AQ45</f>
        <v>527598.848148148</v>
      </c>
      <c r="AR46" s="48" t="n">
        <f aca="false">ns_mature_sales/12*AR45</f>
        <v>527598.848148148</v>
      </c>
      <c r="AS46" s="48" t="n">
        <f aca="false">ns_mature_sales/12*AS45</f>
        <v>527598.848148148</v>
      </c>
      <c r="AT46" s="48" t="n">
        <f aca="false">ns_mature_sales/12*AT45</f>
        <v>527598.848148148</v>
      </c>
      <c r="AU46" s="48" t="n">
        <f aca="false">ns_mature_sales/12*AU45</f>
        <v>527598.848148148</v>
      </c>
      <c r="AV46" s="48" t="n">
        <f aca="false">ns_mature_sales/12*AV45</f>
        <v>527598.848148148</v>
      </c>
      <c r="AW46" s="48" t="n">
        <f aca="false">ns_mature_sales/12*AW45</f>
        <v>527598.848148148</v>
      </c>
      <c r="AX46" s="48" t="n">
        <f aca="false">ns_mature_sales/12*AX45</f>
        <v>527598.848148148</v>
      </c>
      <c r="AY46" s="48" t="n">
        <f aca="false">ns_mature_sales/12*AY45</f>
        <v>527598.848148148</v>
      </c>
      <c r="AZ46" s="48" t="n">
        <f aca="false">ns_mature_sales/12*AZ45</f>
        <v>527598.848148148</v>
      </c>
      <c r="BA46" s="48" t="n">
        <f aca="false">ns_mature_sales/12*BA45</f>
        <v>527598.848148148</v>
      </c>
      <c r="BB46" s="48" t="n">
        <f aca="false">ns_mature_sales/12*BB45</f>
        <v>527598.848148148</v>
      </c>
      <c r="BC46" s="48" t="n">
        <f aca="false">ns_mature_sales/12*BC45</f>
        <v>527598.848148148</v>
      </c>
      <c r="BD46" s="48" t="n">
        <f aca="false">ns_mature_sales/12*BD45</f>
        <v>527598.848148148</v>
      </c>
      <c r="BE46" s="48" t="n">
        <f aca="false">ns_mature_sales/12*BE45</f>
        <v>527598.848148148</v>
      </c>
      <c r="BF46" s="48" t="n">
        <f aca="false">ns_mature_sales/12*BF45</f>
        <v>527598.848148148</v>
      </c>
      <c r="BG46" s="48" t="n">
        <f aca="false">ns_mature_sales/12*BG45</f>
        <v>527598.848148148</v>
      </c>
      <c r="BH46" s="48" t="n">
        <f aca="false">ns_mature_sales/12*BH45</f>
        <v>527598.848148148</v>
      </c>
      <c r="BI46" s="48" t="n">
        <f aca="false">ns_mature_sales/12*BI45</f>
        <v>527598.848148148</v>
      </c>
      <c r="BJ46" s="48" t="n">
        <f aca="false">ns_mature_sales/12*BJ45</f>
        <v>527598.848148148</v>
      </c>
      <c r="BK46" s="48" t="n">
        <f aca="false">ns_mature_sales/12*BK45</f>
        <v>527598.848148148</v>
      </c>
    </row>
    <row r="47" customFormat="false" ht="15" hidden="false" customHeight="false" outlineLevel="0" collapsed="false">
      <c r="A47" s="12" t="s">
        <v>88</v>
      </c>
      <c r="D47" s="48" t="n">
        <f aca="false">D46*ns_gm</f>
        <v>151610.575097921</v>
      </c>
      <c r="E47" s="48" t="n">
        <f aca="false">E46*ns_gm</f>
        <v>157556.08784686</v>
      </c>
      <c r="F47" s="48" t="n">
        <f aca="false">F46*ns_gm</f>
        <v>163501.600595798</v>
      </c>
      <c r="G47" s="48" t="n">
        <f aca="false">G46*ns_gm</f>
        <v>169447.113344736</v>
      </c>
      <c r="H47" s="48" t="n">
        <f aca="false">H46*ns_gm</f>
        <v>175392.626093674</v>
      </c>
      <c r="I47" s="48" t="n">
        <f aca="false">I46*ns_gm</f>
        <v>181338.138842612</v>
      </c>
      <c r="J47" s="48" t="n">
        <f aca="false">J46*ns_gm</f>
        <v>187283.65159155</v>
      </c>
      <c r="K47" s="48" t="n">
        <f aca="false">K46*ns_gm</f>
        <v>193229.164340488</v>
      </c>
      <c r="L47" s="48" t="n">
        <f aca="false">L46*ns_gm</f>
        <v>199174.677089426</v>
      </c>
      <c r="M47" s="48" t="n">
        <f aca="false">M46*ns_gm</f>
        <v>205120.189838364</v>
      </c>
      <c r="N47" s="48" t="n">
        <f aca="false">N46*ns_gm</f>
        <v>211065.702587302</v>
      </c>
      <c r="O47" s="48" t="n">
        <f aca="false">O46*ns_gm</f>
        <v>217011.215336241</v>
      </c>
      <c r="P47" s="48" t="n">
        <f aca="false">P46*ns_gm</f>
        <v>222956.728085179</v>
      </c>
      <c r="Q47" s="48" t="n">
        <f aca="false">Q46*ns_gm</f>
        <v>228902.240834117</v>
      </c>
      <c r="R47" s="48" t="n">
        <f aca="false">R46*ns_gm</f>
        <v>234847.753583055</v>
      </c>
      <c r="S47" s="48" t="n">
        <f aca="false">S46*ns_gm</f>
        <v>240793.266331993</v>
      </c>
      <c r="T47" s="48" t="n">
        <f aca="false">T46*ns_gm</f>
        <v>246738.779080931</v>
      </c>
      <c r="U47" s="48" t="n">
        <f aca="false">U46*ns_gm</f>
        <v>252684.291829869</v>
      </c>
      <c r="V47" s="48" t="n">
        <f aca="false">V46*ns_gm</f>
        <v>252684.291829869</v>
      </c>
      <c r="W47" s="48" t="n">
        <f aca="false">W46*ns_gm</f>
        <v>252684.291829869</v>
      </c>
      <c r="X47" s="48" t="n">
        <f aca="false">X46*ns_gm</f>
        <v>252684.291829869</v>
      </c>
      <c r="Y47" s="48" t="n">
        <f aca="false">Y46*ns_gm</f>
        <v>252684.291829869</v>
      </c>
      <c r="Z47" s="48" t="n">
        <f aca="false">Z46*ns_gm</f>
        <v>252684.291829869</v>
      </c>
      <c r="AA47" s="48" t="n">
        <f aca="false">AA46*ns_gm</f>
        <v>252684.291829869</v>
      </c>
      <c r="AB47" s="48" t="n">
        <f aca="false">AB46*ns_gm</f>
        <v>252684.291829869</v>
      </c>
      <c r="AC47" s="48" t="n">
        <f aca="false">AC46*ns_gm</f>
        <v>252684.291829869</v>
      </c>
      <c r="AD47" s="48" t="n">
        <f aca="false">AD46*ns_gm</f>
        <v>252684.291829869</v>
      </c>
      <c r="AE47" s="48" t="n">
        <f aca="false">AE46*ns_gm</f>
        <v>252684.291829869</v>
      </c>
      <c r="AF47" s="48" t="n">
        <f aca="false">AF46*ns_gm</f>
        <v>252684.291829869</v>
      </c>
      <c r="AG47" s="48" t="n">
        <f aca="false">AG46*ns_gm</f>
        <v>252684.291829869</v>
      </c>
      <c r="AH47" s="48" t="n">
        <f aca="false">AH46*ns_gm</f>
        <v>252684.291829869</v>
      </c>
      <c r="AI47" s="48" t="n">
        <f aca="false">AI46*ns_gm</f>
        <v>252684.291829869</v>
      </c>
      <c r="AJ47" s="48" t="n">
        <f aca="false">AJ46*ns_gm</f>
        <v>252684.291829869</v>
      </c>
      <c r="AK47" s="48" t="n">
        <f aca="false">AK46*ns_gm</f>
        <v>252684.291829869</v>
      </c>
      <c r="AL47" s="48" t="n">
        <f aca="false">AL46*ns_gm</f>
        <v>252684.291829869</v>
      </c>
      <c r="AM47" s="48" t="n">
        <f aca="false">AM46*ns_gm</f>
        <v>252684.291829869</v>
      </c>
      <c r="AN47" s="48" t="n">
        <f aca="false">AN46*ns_gm</f>
        <v>252684.291829869</v>
      </c>
      <c r="AO47" s="48" t="n">
        <f aca="false">AO46*ns_gm</f>
        <v>252684.291829869</v>
      </c>
      <c r="AP47" s="48" t="n">
        <f aca="false">AP46*ns_gm</f>
        <v>252684.291829869</v>
      </c>
      <c r="AQ47" s="48" t="n">
        <f aca="false">AQ46*ns_gm</f>
        <v>252684.291829869</v>
      </c>
      <c r="AR47" s="48" t="n">
        <f aca="false">AR46*ns_gm</f>
        <v>252684.291829869</v>
      </c>
      <c r="AS47" s="48" t="n">
        <f aca="false">AS46*ns_gm</f>
        <v>252684.291829869</v>
      </c>
      <c r="AT47" s="48" t="n">
        <f aca="false">AT46*ns_gm</f>
        <v>252684.291829869</v>
      </c>
      <c r="AU47" s="48" t="n">
        <f aca="false">AU46*ns_gm</f>
        <v>252684.291829869</v>
      </c>
      <c r="AV47" s="48" t="n">
        <f aca="false">AV46*ns_gm</f>
        <v>252684.291829869</v>
      </c>
      <c r="AW47" s="48" t="n">
        <f aca="false">AW46*ns_gm</f>
        <v>252684.291829869</v>
      </c>
      <c r="AX47" s="48" t="n">
        <f aca="false">AX46*ns_gm</f>
        <v>252684.291829869</v>
      </c>
      <c r="AY47" s="48" t="n">
        <f aca="false">AY46*ns_gm</f>
        <v>252684.291829869</v>
      </c>
      <c r="AZ47" s="48" t="n">
        <f aca="false">AZ46*ns_gm</f>
        <v>252684.291829869</v>
      </c>
      <c r="BA47" s="48" t="n">
        <f aca="false">BA46*ns_gm</f>
        <v>252684.291829869</v>
      </c>
      <c r="BB47" s="48" t="n">
        <f aca="false">BB46*ns_gm</f>
        <v>252684.291829869</v>
      </c>
      <c r="BC47" s="48" t="n">
        <f aca="false">BC46*ns_gm</f>
        <v>252684.291829869</v>
      </c>
      <c r="BD47" s="48" t="n">
        <f aca="false">BD46*ns_gm</f>
        <v>252684.291829869</v>
      </c>
      <c r="BE47" s="48" t="n">
        <f aca="false">BE46*ns_gm</f>
        <v>252684.291829869</v>
      </c>
      <c r="BF47" s="48" t="n">
        <f aca="false">BF46*ns_gm</f>
        <v>252684.291829869</v>
      </c>
      <c r="BG47" s="48" t="n">
        <f aca="false">BG46*ns_gm</f>
        <v>252684.291829869</v>
      </c>
      <c r="BH47" s="48" t="n">
        <f aca="false">BH46*ns_gm</f>
        <v>252684.291829869</v>
      </c>
      <c r="BI47" s="48" t="n">
        <f aca="false">BI46*ns_gm</f>
        <v>252684.291829869</v>
      </c>
      <c r="BJ47" s="48" t="n">
        <f aca="false">BJ46*ns_gm</f>
        <v>252684.291829869</v>
      </c>
      <c r="BK47" s="48" t="n">
        <f aca="false">BK46*ns_gm</f>
        <v>252684.291829869</v>
      </c>
    </row>
    <row r="48" customFormat="false" ht="15" hidden="false" customHeight="false" outlineLevel="0" collapsed="false">
      <c r="A48" s="12" t="s">
        <v>89</v>
      </c>
      <c r="D48" s="48" t="n">
        <f aca="false">D46*waste_actual</f>
        <v>5946.39660022188</v>
      </c>
      <c r="E48" s="48" t="n">
        <f aca="false">E46*waste_actual</f>
        <v>6179.58862376</v>
      </c>
      <c r="F48" s="48" t="n">
        <f aca="false">F46*waste_actual</f>
        <v>6412.78064729811</v>
      </c>
      <c r="G48" s="48" t="n">
        <f aca="false">G46*waste_actual</f>
        <v>6645.97267083622</v>
      </c>
      <c r="H48" s="48" t="n">
        <f aca="false">H46*waste_actual</f>
        <v>6879.16469437434</v>
      </c>
      <c r="I48" s="48" t="n">
        <f aca="false">I46*waste_actual</f>
        <v>7112.35671791245</v>
      </c>
      <c r="J48" s="48" t="n">
        <f aca="false">J46*waste_actual</f>
        <v>7345.54874145056</v>
      </c>
      <c r="K48" s="48" t="n">
        <f aca="false">K46*waste_actual</f>
        <v>7578.74076498867</v>
      </c>
      <c r="L48" s="48" t="n">
        <f aca="false">L46*waste_actual</f>
        <v>7811.93278852679</v>
      </c>
      <c r="M48" s="48" t="n">
        <f aca="false">M46*waste_actual</f>
        <v>8045.1248120649</v>
      </c>
      <c r="N48" s="48" t="n">
        <f aca="false">N46*waste_actual</f>
        <v>8278.31683560301</v>
      </c>
      <c r="O48" s="48" t="n">
        <f aca="false">O46*waste_actual</f>
        <v>8511.50885914113</v>
      </c>
      <c r="P48" s="48" t="n">
        <f aca="false">P46*waste_actual</f>
        <v>8744.70088267924</v>
      </c>
      <c r="Q48" s="48" t="n">
        <f aca="false">Q46*waste_actual</f>
        <v>8977.89290621735</v>
      </c>
      <c r="R48" s="48" t="n">
        <f aca="false">R46*waste_actual</f>
        <v>9211.08492975547</v>
      </c>
      <c r="S48" s="48" t="n">
        <f aca="false">S46*waste_actual</f>
        <v>9444.27695329358</v>
      </c>
      <c r="T48" s="48" t="n">
        <f aca="false">T46*waste_actual</f>
        <v>9677.46897683169</v>
      </c>
      <c r="U48" s="48" t="n">
        <f aca="false">U46*waste_actual</f>
        <v>9910.66100036981</v>
      </c>
      <c r="V48" s="48" t="n">
        <f aca="false">V46*waste_actual</f>
        <v>9910.66100036981</v>
      </c>
      <c r="W48" s="48" t="n">
        <f aca="false">W46*waste_actual</f>
        <v>9910.66100036981</v>
      </c>
      <c r="X48" s="48" t="n">
        <f aca="false">X46*waste_actual</f>
        <v>9910.66100036981</v>
      </c>
      <c r="Y48" s="48" t="n">
        <f aca="false">Y46*waste_actual</f>
        <v>9910.66100036981</v>
      </c>
      <c r="Z48" s="48" t="n">
        <f aca="false">Z46*waste_actual</f>
        <v>9910.66100036981</v>
      </c>
      <c r="AA48" s="48" t="n">
        <f aca="false">AA46*waste_actual</f>
        <v>9910.66100036981</v>
      </c>
      <c r="AB48" s="48" t="n">
        <f aca="false">AB46*waste_actual</f>
        <v>9910.66100036981</v>
      </c>
      <c r="AC48" s="48" t="n">
        <f aca="false">AC46*waste_actual</f>
        <v>9910.66100036981</v>
      </c>
      <c r="AD48" s="48" t="n">
        <f aca="false">AD46*waste_actual</f>
        <v>9910.66100036981</v>
      </c>
      <c r="AE48" s="48" t="n">
        <f aca="false">AE46*waste_actual</f>
        <v>9910.66100036981</v>
      </c>
      <c r="AF48" s="48" t="n">
        <f aca="false">AF46*waste_actual</f>
        <v>9910.66100036981</v>
      </c>
      <c r="AG48" s="48" t="n">
        <f aca="false">AG46*waste_actual</f>
        <v>9910.66100036981</v>
      </c>
      <c r="AH48" s="48" t="n">
        <f aca="false">AH46*waste_actual</f>
        <v>9910.66100036981</v>
      </c>
      <c r="AI48" s="48" t="n">
        <f aca="false">AI46*waste_actual</f>
        <v>9910.66100036981</v>
      </c>
      <c r="AJ48" s="48" t="n">
        <f aca="false">AJ46*waste_actual</f>
        <v>9910.66100036981</v>
      </c>
      <c r="AK48" s="48" t="n">
        <f aca="false">AK46*waste_actual</f>
        <v>9910.66100036981</v>
      </c>
      <c r="AL48" s="48" t="n">
        <f aca="false">AL46*waste_actual</f>
        <v>9910.66100036981</v>
      </c>
      <c r="AM48" s="48" t="n">
        <f aca="false">AM46*waste_actual</f>
        <v>9910.66100036981</v>
      </c>
      <c r="AN48" s="48" t="n">
        <f aca="false">AN46*waste_actual</f>
        <v>9910.66100036981</v>
      </c>
      <c r="AO48" s="48" t="n">
        <f aca="false">AO46*waste_actual</f>
        <v>9910.66100036981</v>
      </c>
      <c r="AP48" s="48" t="n">
        <f aca="false">AP46*waste_actual</f>
        <v>9910.66100036981</v>
      </c>
      <c r="AQ48" s="48" t="n">
        <f aca="false">AQ46*waste_actual</f>
        <v>9910.66100036981</v>
      </c>
      <c r="AR48" s="48" t="n">
        <f aca="false">AR46*waste_actual</f>
        <v>9910.66100036981</v>
      </c>
      <c r="AS48" s="48" t="n">
        <f aca="false">AS46*waste_actual</f>
        <v>9910.66100036981</v>
      </c>
      <c r="AT48" s="48" t="n">
        <f aca="false">AT46*waste_actual</f>
        <v>9910.66100036981</v>
      </c>
      <c r="AU48" s="48" t="n">
        <f aca="false">AU46*waste_actual</f>
        <v>9910.66100036981</v>
      </c>
      <c r="AV48" s="48" t="n">
        <f aca="false">AV46*waste_actual</f>
        <v>9910.66100036981</v>
      </c>
      <c r="AW48" s="48" t="n">
        <f aca="false">AW46*waste_actual</f>
        <v>9910.66100036981</v>
      </c>
      <c r="AX48" s="48" t="n">
        <f aca="false">AX46*waste_actual</f>
        <v>9910.66100036981</v>
      </c>
      <c r="AY48" s="48" t="n">
        <f aca="false">AY46*waste_actual</f>
        <v>9910.66100036981</v>
      </c>
      <c r="AZ48" s="48" t="n">
        <f aca="false">AZ46*waste_actual</f>
        <v>9910.66100036981</v>
      </c>
      <c r="BA48" s="48" t="n">
        <f aca="false">BA46*waste_actual</f>
        <v>9910.66100036981</v>
      </c>
      <c r="BB48" s="48" t="n">
        <f aca="false">BB46*waste_actual</f>
        <v>9910.66100036981</v>
      </c>
      <c r="BC48" s="48" t="n">
        <f aca="false">BC46*waste_actual</f>
        <v>9910.66100036981</v>
      </c>
      <c r="BD48" s="48" t="n">
        <f aca="false">BD46*waste_actual</f>
        <v>9910.66100036981</v>
      </c>
      <c r="BE48" s="48" t="n">
        <f aca="false">BE46*waste_actual</f>
        <v>9910.66100036981</v>
      </c>
      <c r="BF48" s="48" t="n">
        <f aca="false">BF46*waste_actual</f>
        <v>9910.66100036981</v>
      </c>
      <c r="BG48" s="48" t="n">
        <f aca="false">BG46*waste_actual</f>
        <v>9910.66100036981</v>
      </c>
      <c r="BH48" s="48" t="n">
        <f aca="false">BH46*waste_actual</f>
        <v>9910.66100036981</v>
      </c>
      <c r="BI48" s="48" t="n">
        <f aca="false">BI46*waste_actual</f>
        <v>9910.66100036981</v>
      </c>
      <c r="BJ48" s="48" t="n">
        <f aca="false">BJ46*waste_actual</f>
        <v>9910.66100036981</v>
      </c>
      <c r="BK48" s="48" t="n">
        <f aca="false">BK46*waste_actual</f>
        <v>9910.66100036981</v>
      </c>
    </row>
    <row r="49" customFormat="false" ht="15" hidden="false" customHeight="false" outlineLevel="0" collapsed="false">
      <c r="A49" s="12" t="s">
        <v>90</v>
      </c>
      <c r="D49" s="48" t="n">
        <f aca="false">MAX(D46*labor_pct,ns_mature_sales/12*labor_pct*labor_floor)</f>
        <v>85207.2139759259</v>
      </c>
      <c r="E49" s="48" t="n">
        <f aca="false">MAX(E46*labor_pct,ns_mature_sales/12*labor_pct*labor_floor)</f>
        <v>85207.2139759259</v>
      </c>
      <c r="F49" s="48" t="n">
        <f aca="false">MAX(F46*labor_pct,ns_mature_sales/12*labor_pct*labor_floor)</f>
        <v>85207.2139759259</v>
      </c>
      <c r="G49" s="48" t="n">
        <f aca="false">MAX(G46*labor_pct,ns_mature_sales/12*labor_pct*labor_floor)</f>
        <v>85207.2139759259</v>
      </c>
      <c r="H49" s="48" t="n">
        <f aca="false">MAX(H46*labor_pct,ns_mature_sales/12*labor_pct*labor_floor)</f>
        <v>85207.2139759259</v>
      </c>
      <c r="I49" s="48" t="n">
        <f aca="false">MAX(I46*labor_pct,ns_mature_sales/12*labor_pct*labor_floor)</f>
        <v>85207.2139759259</v>
      </c>
      <c r="J49" s="48" t="n">
        <f aca="false">MAX(J46*labor_pct,ns_mature_sales/12*labor_pct*labor_floor)</f>
        <v>85207.2139759259</v>
      </c>
      <c r="K49" s="48" t="n">
        <f aca="false">MAX(K46*labor_pct,ns_mature_sales/12*labor_pct*labor_floor)</f>
        <v>85207.2139759259</v>
      </c>
      <c r="L49" s="48" t="n">
        <f aca="false">MAX(L46*labor_pct,ns_mature_sales/12*labor_pct*labor_floor)</f>
        <v>85207.2139759259</v>
      </c>
      <c r="M49" s="48" t="n">
        <f aca="false">MAX(M46*labor_pct,ns_mature_sales/12*labor_pct*labor_floor)</f>
        <v>85207.2139759259</v>
      </c>
      <c r="N49" s="48" t="n">
        <f aca="false">MAX(N46*labor_pct,ns_mature_sales/12*labor_pct*labor_floor)</f>
        <v>85207.2139759259</v>
      </c>
      <c r="O49" s="48" t="n">
        <f aca="false">MAX(O46*labor_pct,ns_mature_sales/12*labor_pct*labor_floor)</f>
        <v>86091.7179272331</v>
      </c>
      <c r="P49" s="48" t="n">
        <f aca="false">MAX(P46*labor_pct,ns_mature_sales/12*labor_pct*labor_floor)</f>
        <v>88450.3951307189</v>
      </c>
      <c r="Q49" s="48" t="n">
        <f aca="false">MAX(Q46*labor_pct,ns_mature_sales/12*labor_pct*labor_floor)</f>
        <v>90809.0723342048</v>
      </c>
      <c r="R49" s="48" t="n">
        <f aca="false">MAX(R46*labor_pct,ns_mature_sales/12*labor_pct*labor_floor)</f>
        <v>93167.7495376906</v>
      </c>
      <c r="S49" s="48" t="n">
        <f aca="false">MAX(S46*labor_pct,ns_mature_sales/12*labor_pct*labor_floor)</f>
        <v>95526.4267411764</v>
      </c>
      <c r="T49" s="48" t="n">
        <f aca="false">MAX(T46*labor_pct,ns_mature_sales/12*labor_pct*labor_floor)</f>
        <v>97885.1039446623</v>
      </c>
      <c r="U49" s="48" t="n">
        <f aca="false">MAX(U46*labor_pct,ns_mature_sales/12*labor_pct*labor_floor)</f>
        <v>100243.781148148</v>
      </c>
      <c r="V49" s="48" t="n">
        <f aca="false">MAX(V46*labor_pct,ns_mature_sales/12*labor_pct*labor_floor)</f>
        <v>100243.781148148</v>
      </c>
      <c r="W49" s="48" t="n">
        <f aca="false">MAX(W46*labor_pct,ns_mature_sales/12*labor_pct*labor_floor)</f>
        <v>100243.781148148</v>
      </c>
      <c r="X49" s="48" t="n">
        <f aca="false">MAX(X46*labor_pct,ns_mature_sales/12*labor_pct*labor_floor)</f>
        <v>100243.781148148</v>
      </c>
      <c r="Y49" s="48" t="n">
        <f aca="false">MAX(Y46*labor_pct,ns_mature_sales/12*labor_pct*labor_floor)</f>
        <v>100243.781148148</v>
      </c>
      <c r="Z49" s="48" t="n">
        <f aca="false">MAX(Z46*labor_pct,ns_mature_sales/12*labor_pct*labor_floor)</f>
        <v>100243.781148148</v>
      </c>
      <c r="AA49" s="48" t="n">
        <f aca="false">MAX(AA46*labor_pct,ns_mature_sales/12*labor_pct*labor_floor)</f>
        <v>100243.781148148</v>
      </c>
      <c r="AB49" s="48" t="n">
        <f aca="false">MAX(AB46*labor_pct,ns_mature_sales/12*labor_pct*labor_floor)</f>
        <v>100243.781148148</v>
      </c>
      <c r="AC49" s="48" t="n">
        <f aca="false">MAX(AC46*labor_pct,ns_mature_sales/12*labor_pct*labor_floor)</f>
        <v>100243.781148148</v>
      </c>
      <c r="AD49" s="48" t="n">
        <f aca="false">MAX(AD46*labor_pct,ns_mature_sales/12*labor_pct*labor_floor)</f>
        <v>100243.781148148</v>
      </c>
      <c r="AE49" s="48" t="n">
        <f aca="false">MAX(AE46*labor_pct,ns_mature_sales/12*labor_pct*labor_floor)</f>
        <v>100243.781148148</v>
      </c>
      <c r="AF49" s="48" t="n">
        <f aca="false">MAX(AF46*labor_pct,ns_mature_sales/12*labor_pct*labor_floor)</f>
        <v>100243.781148148</v>
      </c>
      <c r="AG49" s="48" t="n">
        <f aca="false">MAX(AG46*labor_pct,ns_mature_sales/12*labor_pct*labor_floor)</f>
        <v>100243.781148148</v>
      </c>
      <c r="AH49" s="48" t="n">
        <f aca="false">MAX(AH46*labor_pct,ns_mature_sales/12*labor_pct*labor_floor)</f>
        <v>100243.781148148</v>
      </c>
      <c r="AI49" s="48" t="n">
        <f aca="false">MAX(AI46*labor_pct,ns_mature_sales/12*labor_pct*labor_floor)</f>
        <v>100243.781148148</v>
      </c>
      <c r="AJ49" s="48" t="n">
        <f aca="false">MAX(AJ46*labor_pct,ns_mature_sales/12*labor_pct*labor_floor)</f>
        <v>100243.781148148</v>
      </c>
      <c r="AK49" s="48" t="n">
        <f aca="false">MAX(AK46*labor_pct,ns_mature_sales/12*labor_pct*labor_floor)</f>
        <v>100243.781148148</v>
      </c>
      <c r="AL49" s="48" t="n">
        <f aca="false">MAX(AL46*labor_pct,ns_mature_sales/12*labor_pct*labor_floor)</f>
        <v>100243.781148148</v>
      </c>
      <c r="AM49" s="48" t="n">
        <f aca="false">MAX(AM46*labor_pct,ns_mature_sales/12*labor_pct*labor_floor)</f>
        <v>100243.781148148</v>
      </c>
      <c r="AN49" s="48" t="n">
        <f aca="false">MAX(AN46*labor_pct,ns_mature_sales/12*labor_pct*labor_floor)</f>
        <v>100243.781148148</v>
      </c>
      <c r="AO49" s="48" t="n">
        <f aca="false">MAX(AO46*labor_pct,ns_mature_sales/12*labor_pct*labor_floor)</f>
        <v>100243.781148148</v>
      </c>
      <c r="AP49" s="48" t="n">
        <f aca="false">MAX(AP46*labor_pct,ns_mature_sales/12*labor_pct*labor_floor)</f>
        <v>100243.781148148</v>
      </c>
      <c r="AQ49" s="48" t="n">
        <f aca="false">MAX(AQ46*labor_pct,ns_mature_sales/12*labor_pct*labor_floor)</f>
        <v>100243.781148148</v>
      </c>
      <c r="AR49" s="48" t="n">
        <f aca="false">MAX(AR46*labor_pct,ns_mature_sales/12*labor_pct*labor_floor)</f>
        <v>100243.781148148</v>
      </c>
      <c r="AS49" s="48" t="n">
        <f aca="false">MAX(AS46*labor_pct,ns_mature_sales/12*labor_pct*labor_floor)</f>
        <v>100243.781148148</v>
      </c>
      <c r="AT49" s="48" t="n">
        <f aca="false">MAX(AT46*labor_pct,ns_mature_sales/12*labor_pct*labor_floor)</f>
        <v>100243.781148148</v>
      </c>
      <c r="AU49" s="48" t="n">
        <f aca="false">MAX(AU46*labor_pct,ns_mature_sales/12*labor_pct*labor_floor)</f>
        <v>100243.781148148</v>
      </c>
      <c r="AV49" s="48" t="n">
        <f aca="false">MAX(AV46*labor_pct,ns_mature_sales/12*labor_pct*labor_floor)</f>
        <v>100243.781148148</v>
      </c>
      <c r="AW49" s="48" t="n">
        <f aca="false">MAX(AW46*labor_pct,ns_mature_sales/12*labor_pct*labor_floor)</f>
        <v>100243.781148148</v>
      </c>
      <c r="AX49" s="48" t="n">
        <f aca="false">MAX(AX46*labor_pct,ns_mature_sales/12*labor_pct*labor_floor)</f>
        <v>100243.781148148</v>
      </c>
      <c r="AY49" s="48" t="n">
        <f aca="false">MAX(AY46*labor_pct,ns_mature_sales/12*labor_pct*labor_floor)</f>
        <v>100243.781148148</v>
      </c>
      <c r="AZ49" s="48" t="n">
        <f aca="false">MAX(AZ46*labor_pct,ns_mature_sales/12*labor_pct*labor_floor)</f>
        <v>100243.781148148</v>
      </c>
      <c r="BA49" s="48" t="n">
        <f aca="false">MAX(BA46*labor_pct,ns_mature_sales/12*labor_pct*labor_floor)</f>
        <v>100243.781148148</v>
      </c>
      <c r="BB49" s="48" t="n">
        <f aca="false">MAX(BB46*labor_pct,ns_mature_sales/12*labor_pct*labor_floor)</f>
        <v>100243.781148148</v>
      </c>
      <c r="BC49" s="48" t="n">
        <f aca="false">MAX(BC46*labor_pct,ns_mature_sales/12*labor_pct*labor_floor)</f>
        <v>100243.781148148</v>
      </c>
      <c r="BD49" s="48" t="n">
        <f aca="false">MAX(BD46*labor_pct,ns_mature_sales/12*labor_pct*labor_floor)</f>
        <v>100243.781148148</v>
      </c>
      <c r="BE49" s="48" t="n">
        <f aca="false">MAX(BE46*labor_pct,ns_mature_sales/12*labor_pct*labor_floor)</f>
        <v>100243.781148148</v>
      </c>
      <c r="BF49" s="48" t="n">
        <f aca="false">MAX(BF46*labor_pct,ns_mature_sales/12*labor_pct*labor_floor)</f>
        <v>100243.781148148</v>
      </c>
      <c r="BG49" s="48" t="n">
        <f aca="false">MAX(BG46*labor_pct,ns_mature_sales/12*labor_pct*labor_floor)</f>
        <v>100243.781148148</v>
      </c>
      <c r="BH49" s="48" t="n">
        <f aca="false">MAX(BH46*labor_pct,ns_mature_sales/12*labor_pct*labor_floor)</f>
        <v>100243.781148148</v>
      </c>
      <c r="BI49" s="48" t="n">
        <f aca="false">MAX(BI46*labor_pct,ns_mature_sales/12*labor_pct*labor_floor)</f>
        <v>100243.781148148</v>
      </c>
      <c r="BJ49" s="48" t="n">
        <f aca="false">MAX(BJ46*labor_pct,ns_mature_sales/12*labor_pct*labor_floor)</f>
        <v>100243.781148148</v>
      </c>
      <c r="BK49" s="48" t="n">
        <f aca="false">MAX(BK46*labor_pct,ns_mature_sales/12*labor_pct*labor_floor)</f>
        <v>100243.781148148</v>
      </c>
    </row>
    <row r="50" customFormat="false" ht="15" hidden="false" customHeight="false" outlineLevel="0" collapsed="false">
      <c r="A50" s="12" t="s">
        <v>41</v>
      </c>
      <c r="D50" s="48" t="n">
        <f aca="false">sqft_new*rent_psf/12</f>
        <v>40000</v>
      </c>
      <c r="E50" s="48" t="n">
        <f aca="false">sqft_new*rent_psf/12</f>
        <v>40000</v>
      </c>
      <c r="F50" s="48" t="n">
        <f aca="false">sqft_new*rent_psf/12</f>
        <v>40000</v>
      </c>
      <c r="G50" s="48" t="n">
        <f aca="false">sqft_new*rent_psf/12</f>
        <v>40000</v>
      </c>
      <c r="H50" s="48" t="n">
        <f aca="false">sqft_new*rent_psf/12</f>
        <v>40000</v>
      </c>
      <c r="I50" s="48" t="n">
        <f aca="false">sqft_new*rent_psf/12</f>
        <v>40000</v>
      </c>
      <c r="J50" s="48" t="n">
        <f aca="false">sqft_new*rent_psf/12</f>
        <v>40000</v>
      </c>
      <c r="K50" s="48" t="n">
        <f aca="false">sqft_new*rent_psf/12</f>
        <v>40000</v>
      </c>
      <c r="L50" s="48" t="n">
        <f aca="false">sqft_new*rent_psf/12</f>
        <v>40000</v>
      </c>
      <c r="M50" s="48" t="n">
        <f aca="false">sqft_new*rent_psf/12</f>
        <v>40000</v>
      </c>
      <c r="N50" s="48" t="n">
        <f aca="false">sqft_new*rent_psf/12</f>
        <v>40000</v>
      </c>
      <c r="O50" s="48" t="n">
        <f aca="false">sqft_new*rent_psf/12</f>
        <v>40000</v>
      </c>
      <c r="P50" s="48" t="n">
        <f aca="false">sqft_new*rent_psf/12</f>
        <v>40000</v>
      </c>
      <c r="Q50" s="48" t="n">
        <f aca="false">sqft_new*rent_psf/12</f>
        <v>40000</v>
      </c>
      <c r="R50" s="48" t="n">
        <f aca="false">sqft_new*rent_psf/12</f>
        <v>40000</v>
      </c>
      <c r="S50" s="48" t="n">
        <f aca="false">sqft_new*rent_psf/12</f>
        <v>40000</v>
      </c>
      <c r="T50" s="48" t="n">
        <f aca="false">sqft_new*rent_psf/12</f>
        <v>40000</v>
      </c>
      <c r="U50" s="48" t="n">
        <f aca="false">sqft_new*rent_psf/12</f>
        <v>40000</v>
      </c>
      <c r="V50" s="48" t="n">
        <f aca="false">sqft_new*rent_psf/12</f>
        <v>40000</v>
      </c>
      <c r="W50" s="48" t="n">
        <f aca="false">sqft_new*rent_psf/12</f>
        <v>40000</v>
      </c>
      <c r="X50" s="48" t="n">
        <f aca="false">sqft_new*rent_psf/12</f>
        <v>40000</v>
      </c>
      <c r="Y50" s="48" t="n">
        <f aca="false">sqft_new*rent_psf/12</f>
        <v>40000</v>
      </c>
      <c r="Z50" s="48" t="n">
        <f aca="false">sqft_new*rent_psf/12</f>
        <v>40000</v>
      </c>
      <c r="AA50" s="48" t="n">
        <f aca="false">sqft_new*rent_psf/12</f>
        <v>40000</v>
      </c>
      <c r="AB50" s="48" t="n">
        <f aca="false">sqft_new*rent_psf/12</f>
        <v>40000</v>
      </c>
      <c r="AC50" s="48" t="n">
        <f aca="false">sqft_new*rent_psf/12</f>
        <v>40000</v>
      </c>
      <c r="AD50" s="48" t="n">
        <f aca="false">sqft_new*rent_psf/12</f>
        <v>40000</v>
      </c>
      <c r="AE50" s="48" t="n">
        <f aca="false">sqft_new*rent_psf/12</f>
        <v>40000</v>
      </c>
      <c r="AF50" s="48" t="n">
        <f aca="false">sqft_new*rent_psf/12</f>
        <v>40000</v>
      </c>
      <c r="AG50" s="48" t="n">
        <f aca="false">sqft_new*rent_psf/12</f>
        <v>40000</v>
      </c>
      <c r="AH50" s="48" t="n">
        <f aca="false">sqft_new*rent_psf/12</f>
        <v>40000</v>
      </c>
      <c r="AI50" s="48" t="n">
        <f aca="false">sqft_new*rent_psf/12</f>
        <v>40000</v>
      </c>
      <c r="AJ50" s="48" t="n">
        <f aca="false">sqft_new*rent_psf/12</f>
        <v>40000</v>
      </c>
      <c r="AK50" s="48" t="n">
        <f aca="false">sqft_new*rent_psf/12</f>
        <v>40000</v>
      </c>
      <c r="AL50" s="48" t="n">
        <f aca="false">sqft_new*rent_psf/12</f>
        <v>40000</v>
      </c>
      <c r="AM50" s="48" t="n">
        <f aca="false">sqft_new*rent_psf/12</f>
        <v>40000</v>
      </c>
      <c r="AN50" s="48" t="n">
        <f aca="false">sqft_new*rent_psf/12</f>
        <v>40000</v>
      </c>
      <c r="AO50" s="48" t="n">
        <f aca="false">sqft_new*rent_psf/12</f>
        <v>40000</v>
      </c>
      <c r="AP50" s="48" t="n">
        <f aca="false">sqft_new*rent_psf/12</f>
        <v>40000</v>
      </c>
      <c r="AQ50" s="48" t="n">
        <f aca="false">sqft_new*rent_psf/12</f>
        <v>40000</v>
      </c>
      <c r="AR50" s="48" t="n">
        <f aca="false">sqft_new*rent_psf/12</f>
        <v>40000</v>
      </c>
      <c r="AS50" s="48" t="n">
        <f aca="false">sqft_new*rent_psf/12</f>
        <v>40000</v>
      </c>
      <c r="AT50" s="48" t="n">
        <f aca="false">sqft_new*rent_psf/12</f>
        <v>40000</v>
      </c>
      <c r="AU50" s="48" t="n">
        <f aca="false">sqft_new*rent_psf/12</f>
        <v>40000</v>
      </c>
      <c r="AV50" s="48" t="n">
        <f aca="false">sqft_new*rent_psf/12</f>
        <v>40000</v>
      </c>
      <c r="AW50" s="48" t="n">
        <f aca="false">sqft_new*rent_psf/12</f>
        <v>40000</v>
      </c>
      <c r="AX50" s="48" t="n">
        <f aca="false">sqft_new*rent_psf/12</f>
        <v>40000</v>
      </c>
      <c r="AY50" s="48" t="n">
        <f aca="false">sqft_new*rent_psf/12</f>
        <v>40000</v>
      </c>
      <c r="AZ50" s="48" t="n">
        <f aca="false">sqft_new*rent_psf/12</f>
        <v>40000</v>
      </c>
      <c r="BA50" s="48" t="n">
        <f aca="false">sqft_new*rent_psf/12</f>
        <v>40000</v>
      </c>
      <c r="BB50" s="48" t="n">
        <f aca="false">sqft_new*rent_psf/12</f>
        <v>40000</v>
      </c>
      <c r="BC50" s="48" t="n">
        <f aca="false">sqft_new*rent_psf/12</f>
        <v>40000</v>
      </c>
      <c r="BD50" s="48" t="n">
        <f aca="false">sqft_new*rent_psf/12</f>
        <v>40000</v>
      </c>
      <c r="BE50" s="48" t="n">
        <f aca="false">sqft_new*rent_psf/12</f>
        <v>40000</v>
      </c>
      <c r="BF50" s="48" t="n">
        <f aca="false">sqft_new*rent_psf/12</f>
        <v>40000</v>
      </c>
      <c r="BG50" s="48" t="n">
        <f aca="false">sqft_new*rent_psf/12</f>
        <v>40000</v>
      </c>
      <c r="BH50" s="48" t="n">
        <f aca="false">sqft_new*rent_psf/12</f>
        <v>40000</v>
      </c>
      <c r="BI50" s="48" t="n">
        <f aca="false">sqft_new*rent_psf/12</f>
        <v>40000</v>
      </c>
      <c r="BJ50" s="48" t="n">
        <f aca="false">sqft_new*rent_psf/12</f>
        <v>40000</v>
      </c>
      <c r="BK50" s="48" t="n">
        <f aca="false">sqft_new*rent_psf/12</f>
        <v>40000</v>
      </c>
    </row>
    <row r="51" customFormat="false" ht="15" hidden="false" customHeight="false" outlineLevel="0" collapsed="false">
      <c r="A51" s="12" t="s">
        <v>44</v>
      </c>
      <c r="D51" s="48" t="n">
        <f aca="false">D46*other_pct</f>
        <v>25324.7447111111</v>
      </c>
      <c r="E51" s="48" t="n">
        <f aca="false">E46*other_pct</f>
        <v>26317.8719546841</v>
      </c>
      <c r="F51" s="48" t="n">
        <f aca="false">F46*other_pct</f>
        <v>27310.9991982571</v>
      </c>
      <c r="G51" s="48" t="n">
        <f aca="false">G46*other_pct</f>
        <v>28304.1264418301</v>
      </c>
      <c r="H51" s="48" t="n">
        <f aca="false">H46*other_pct</f>
        <v>29297.253685403</v>
      </c>
      <c r="I51" s="48" t="n">
        <f aca="false">I46*other_pct</f>
        <v>30290.380928976</v>
      </c>
      <c r="J51" s="48" t="n">
        <f aca="false">J46*other_pct</f>
        <v>31283.508172549</v>
      </c>
      <c r="K51" s="48" t="n">
        <f aca="false">K46*other_pct</f>
        <v>32276.635416122</v>
      </c>
      <c r="L51" s="48" t="n">
        <f aca="false">L46*other_pct</f>
        <v>33269.762659695</v>
      </c>
      <c r="M51" s="48" t="n">
        <f aca="false">M46*other_pct</f>
        <v>34262.889903268</v>
      </c>
      <c r="N51" s="48" t="n">
        <f aca="false">N46*other_pct</f>
        <v>35256.0171468409</v>
      </c>
      <c r="O51" s="48" t="n">
        <f aca="false">O46*other_pct</f>
        <v>36249.1443904139</v>
      </c>
      <c r="P51" s="48" t="n">
        <f aca="false">P46*other_pct</f>
        <v>37242.2716339869</v>
      </c>
      <c r="Q51" s="48" t="n">
        <f aca="false">Q46*other_pct</f>
        <v>38235.3988775599</v>
      </c>
      <c r="R51" s="48" t="n">
        <f aca="false">R46*other_pct</f>
        <v>39228.5261211329</v>
      </c>
      <c r="S51" s="48" t="n">
        <f aca="false">S46*other_pct</f>
        <v>40221.6533647059</v>
      </c>
      <c r="T51" s="48" t="n">
        <f aca="false">T46*other_pct</f>
        <v>41214.7806082789</v>
      </c>
      <c r="U51" s="48" t="n">
        <f aca="false">U46*other_pct</f>
        <v>42207.9078518518</v>
      </c>
      <c r="V51" s="48" t="n">
        <f aca="false">V46*other_pct</f>
        <v>42207.9078518518</v>
      </c>
      <c r="W51" s="48" t="n">
        <f aca="false">W46*other_pct</f>
        <v>42207.9078518518</v>
      </c>
      <c r="X51" s="48" t="n">
        <f aca="false">X46*other_pct</f>
        <v>42207.9078518518</v>
      </c>
      <c r="Y51" s="48" t="n">
        <f aca="false">Y46*other_pct</f>
        <v>42207.9078518518</v>
      </c>
      <c r="Z51" s="48" t="n">
        <f aca="false">Z46*other_pct</f>
        <v>42207.9078518518</v>
      </c>
      <c r="AA51" s="48" t="n">
        <f aca="false">AA46*other_pct</f>
        <v>42207.9078518518</v>
      </c>
      <c r="AB51" s="48" t="n">
        <f aca="false">AB46*other_pct</f>
        <v>42207.9078518518</v>
      </c>
      <c r="AC51" s="48" t="n">
        <f aca="false">AC46*other_pct</f>
        <v>42207.9078518518</v>
      </c>
      <c r="AD51" s="48" t="n">
        <f aca="false">AD46*other_pct</f>
        <v>42207.9078518518</v>
      </c>
      <c r="AE51" s="48" t="n">
        <f aca="false">AE46*other_pct</f>
        <v>42207.9078518518</v>
      </c>
      <c r="AF51" s="48" t="n">
        <f aca="false">AF46*other_pct</f>
        <v>42207.9078518518</v>
      </c>
      <c r="AG51" s="48" t="n">
        <f aca="false">AG46*other_pct</f>
        <v>42207.9078518518</v>
      </c>
      <c r="AH51" s="48" t="n">
        <f aca="false">AH46*other_pct</f>
        <v>42207.9078518518</v>
      </c>
      <c r="AI51" s="48" t="n">
        <f aca="false">AI46*other_pct</f>
        <v>42207.9078518518</v>
      </c>
      <c r="AJ51" s="48" t="n">
        <f aca="false">AJ46*other_pct</f>
        <v>42207.9078518518</v>
      </c>
      <c r="AK51" s="48" t="n">
        <f aca="false">AK46*other_pct</f>
        <v>42207.9078518518</v>
      </c>
      <c r="AL51" s="48" t="n">
        <f aca="false">AL46*other_pct</f>
        <v>42207.9078518518</v>
      </c>
      <c r="AM51" s="48" t="n">
        <f aca="false">AM46*other_pct</f>
        <v>42207.9078518518</v>
      </c>
      <c r="AN51" s="48" t="n">
        <f aca="false">AN46*other_pct</f>
        <v>42207.9078518518</v>
      </c>
      <c r="AO51" s="48" t="n">
        <f aca="false">AO46*other_pct</f>
        <v>42207.9078518518</v>
      </c>
      <c r="AP51" s="48" t="n">
        <f aca="false">AP46*other_pct</f>
        <v>42207.9078518518</v>
      </c>
      <c r="AQ51" s="48" t="n">
        <f aca="false">AQ46*other_pct</f>
        <v>42207.9078518518</v>
      </c>
      <c r="AR51" s="48" t="n">
        <f aca="false">AR46*other_pct</f>
        <v>42207.9078518518</v>
      </c>
      <c r="AS51" s="48" t="n">
        <f aca="false">AS46*other_pct</f>
        <v>42207.9078518518</v>
      </c>
      <c r="AT51" s="48" t="n">
        <f aca="false">AT46*other_pct</f>
        <v>42207.9078518518</v>
      </c>
      <c r="AU51" s="48" t="n">
        <f aca="false">AU46*other_pct</f>
        <v>42207.9078518518</v>
      </c>
      <c r="AV51" s="48" t="n">
        <f aca="false">AV46*other_pct</f>
        <v>42207.9078518518</v>
      </c>
      <c r="AW51" s="48" t="n">
        <f aca="false">AW46*other_pct</f>
        <v>42207.9078518518</v>
      </c>
      <c r="AX51" s="48" t="n">
        <f aca="false">AX46*other_pct</f>
        <v>42207.9078518518</v>
      </c>
      <c r="AY51" s="48" t="n">
        <f aca="false">AY46*other_pct</f>
        <v>42207.9078518518</v>
      </c>
      <c r="AZ51" s="48" t="n">
        <f aca="false">AZ46*other_pct</f>
        <v>42207.9078518518</v>
      </c>
      <c r="BA51" s="48" t="n">
        <f aca="false">BA46*other_pct</f>
        <v>42207.9078518518</v>
      </c>
      <c r="BB51" s="48" t="n">
        <f aca="false">BB46*other_pct</f>
        <v>42207.9078518518</v>
      </c>
      <c r="BC51" s="48" t="n">
        <f aca="false">BC46*other_pct</f>
        <v>42207.9078518518</v>
      </c>
      <c r="BD51" s="48" t="n">
        <f aca="false">BD46*other_pct</f>
        <v>42207.9078518518</v>
      </c>
      <c r="BE51" s="48" t="n">
        <f aca="false">BE46*other_pct</f>
        <v>42207.9078518518</v>
      </c>
      <c r="BF51" s="48" t="n">
        <f aca="false">BF46*other_pct</f>
        <v>42207.9078518518</v>
      </c>
      <c r="BG51" s="48" t="n">
        <f aca="false">BG46*other_pct</f>
        <v>42207.9078518518</v>
      </c>
      <c r="BH51" s="48" t="n">
        <f aca="false">BH46*other_pct</f>
        <v>42207.9078518518</v>
      </c>
      <c r="BI51" s="48" t="n">
        <f aca="false">BI46*other_pct</f>
        <v>42207.9078518518</v>
      </c>
      <c r="BJ51" s="48" t="n">
        <f aca="false">BJ46*other_pct</f>
        <v>42207.9078518518</v>
      </c>
      <c r="BK51" s="48" t="n">
        <f aca="false">BK46*other_pct</f>
        <v>42207.9078518518</v>
      </c>
    </row>
    <row r="52" customFormat="false" ht="15" hidden="false" customHeight="false" outlineLevel="0" collapsed="false">
      <c r="A52" s="43" t="s">
        <v>91</v>
      </c>
      <c r="B52" s="54"/>
      <c r="C52" s="54"/>
      <c r="D52" s="55" t="n">
        <f aca="false">D47-D48-D49-D50-D51</f>
        <v>-4867.78018933749</v>
      </c>
      <c r="E52" s="55" t="n">
        <f aca="false">E47-E48-E49-E50-E51</f>
        <v>-148.58670751048</v>
      </c>
      <c r="F52" s="55" t="n">
        <f aca="false">F47-F48-F49-F50-F51</f>
        <v>4570.60677431648</v>
      </c>
      <c r="G52" s="55" t="n">
        <f aca="false">G47-G48-G49-G50-G51</f>
        <v>9289.8002561435</v>
      </c>
      <c r="H52" s="55" t="n">
        <f aca="false">H47-H48-H49-H50-H51</f>
        <v>14008.9937379705</v>
      </c>
      <c r="I52" s="55" t="n">
        <f aca="false">I47-I48-I49-I50-I51</f>
        <v>18728.1872197975</v>
      </c>
      <c r="J52" s="55" t="n">
        <f aca="false">J47-J48-J49-J50-J51</f>
        <v>23447.3807016245</v>
      </c>
      <c r="K52" s="55" t="n">
        <f aca="false">K47-K48-K49-K50-K51</f>
        <v>28166.5741834515</v>
      </c>
      <c r="L52" s="55" t="n">
        <f aca="false">L47-L48-L49-L50-L51</f>
        <v>32885.7676652785</v>
      </c>
      <c r="M52" s="55" t="n">
        <f aca="false">M47-M48-M49-M50-M51</f>
        <v>37604.9611471055</v>
      </c>
      <c r="N52" s="55" t="n">
        <f aca="false">N47-N48-N49-N50-N51</f>
        <v>42324.1546289325</v>
      </c>
      <c r="O52" s="55" t="n">
        <f aca="false">O47-O48-O49-O50-O51</f>
        <v>46158.8441594524</v>
      </c>
      <c r="P52" s="55" t="n">
        <f aca="false">P47-P48-P49-P50-P51</f>
        <v>48519.3604377935</v>
      </c>
      <c r="Q52" s="55" t="n">
        <f aca="false">Q47-Q48-Q49-Q50-Q51</f>
        <v>50879.8767161347</v>
      </c>
      <c r="R52" s="55" t="n">
        <f aca="false">R47-R48-R49-R50-R51</f>
        <v>53240.3929944758</v>
      </c>
      <c r="S52" s="55" t="n">
        <f aca="false">S47-S48-S49-S50-S51</f>
        <v>55600.9092728169</v>
      </c>
      <c r="T52" s="55" t="n">
        <f aca="false">T47-T48-T49-T50-T51</f>
        <v>57961.4255511581</v>
      </c>
      <c r="U52" s="55" t="n">
        <f aca="false">U47-U48-U49-U50-U51</f>
        <v>60321.9418294993</v>
      </c>
      <c r="V52" s="55" t="n">
        <f aca="false">V47-V48-V49-V50-V51</f>
        <v>60321.9418294993</v>
      </c>
      <c r="W52" s="55" t="n">
        <f aca="false">W47-W48-W49-W50-W51</f>
        <v>60321.9418294993</v>
      </c>
      <c r="X52" s="55" t="n">
        <f aca="false">X47-X48-X49-X50-X51</f>
        <v>60321.9418294993</v>
      </c>
      <c r="Y52" s="55" t="n">
        <f aca="false">Y47-Y48-Y49-Y50-Y51</f>
        <v>60321.9418294993</v>
      </c>
      <c r="Z52" s="55" t="n">
        <f aca="false">Z47-Z48-Z49-Z50-Z51</f>
        <v>60321.9418294993</v>
      </c>
      <c r="AA52" s="55" t="n">
        <f aca="false">AA47-AA48-AA49-AA50-AA51</f>
        <v>60321.9418294993</v>
      </c>
      <c r="AB52" s="55" t="n">
        <f aca="false">AB47-AB48-AB49-AB50-AB51</f>
        <v>60321.9418294993</v>
      </c>
      <c r="AC52" s="55" t="n">
        <f aca="false">AC47-AC48-AC49-AC50-AC51</f>
        <v>60321.9418294993</v>
      </c>
      <c r="AD52" s="55" t="n">
        <f aca="false">AD47-AD48-AD49-AD50-AD51</f>
        <v>60321.9418294993</v>
      </c>
      <c r="AE52" s="55" t="n">
        <f aca="false">AE47-AE48-AE49-AE50-AE51</f>
        <v>60321.9418294993</v>
      </c>
      <c r="AF52" s="55" t="n">
        <f aca="false">AF47-AF48-AF49-AF50-AF51</f>
        <v>60321.9418294993</v>
      </c>
      <c r="AG52" s="55" t="n">
        <f aca="false">AG47-AG48-AG49-AG50-AG51</f>
        <v>60321.9418294993</v>
      </c>
      <c r="AH52" s="55" t="n">
        <f aca="false">AH47-AH48-AH49-AH50-AH51</f>
        <v>60321.9418294993</v>
      </c>
      <c r="AI52" s="55" t="n">
        <f aca="false">AI47-AI48-AI49-AI50-AI51</f>
        <v>60321.9418294993</v>
      </c>
      <c r="AJ52" s="55" t="n">
        <f aca="false">AJ47-AJ48-AJ49-AJ50-AJ51</f>
        <v>60321.9418294993</v>
      </c>
      <c r="AK52" s="55" t="n">
        <f aca="false">AK47-AK48-AK49-AK50-AK51</f>
        <v>60321.9418294993</v>
      </c>
      <c r="AL52" s="55" t="n">
        <f aca="false">AL47-AL48-AL49-AL50-AL51</f>
        <v>60321.9418294993</v>
      </c>
      <c r="AM52" s="55" t="n">
        <f aca="false">AM47-AM48-AM49-AM50-AM51</f>
        <v>60321.9418294993</v>
      </c>
      <c r="AN52" s="55" t="n">
        <f aca="false">AN47-AN48-AN49-AN50-AN51</f>
        <v>60321.9418294993</v>
      </c>
      <c r="AO52" s="55" t="n">
        <f aca="false">AO47-AO48-AO49-AO50-AO51</f>
        <v>60321.9418294993</v>
      </c>
      <c r="AP52" s="55" t="n">
        <f aca="false">AP47-AP48-AP49-AP50-AP51</f>
        <v>60321.9418294993</v>
      </c>
      <c r="AQ52" s="55" t="n">
        <f aca="false">AQ47-AQ48-AQ49-AQ50-AQ51</f>
        <v>60321.9418294993</v>
      </c>
      <c r="AR52" s="55" t="n">
        <f aca="false">AR47-AR48-AR49-AR50-AR51</f>
        <v>60321.9418294993</v>
      </c>
      <c r="AS52" s="55" t="n">
        <f aca="false">AS47-AS48-AS49-AS50-AS51</f>
        <v>60321.9418294993</v>
      </c>
      <c r="AT52" s="55" t="n">
        <f aca="false">AT47-AT48-AT49-AT50-AT51</f>
        <v>60321.9418294993</v>
      </c>
      <c r="AU52" s="55" t="n">
        <f aca="false">AU47-AU48-AU49-AU50-AU51</f>
        <v>60321.9418294993</v>
      </c>
      <c r="AV52" s="55" t="n">
        <f aca="false">AV47-AV48-AV49-AV50-AV51</f>
        <v>60321.9418294993</v>
      </c>
      <c r="AW52" s="55" t="n">
        <f aca="false">AW47-AW48-AW49-AW50-AW51</f>
        <v>60321.9418294993</v>
      </c>
      <c r="AX52" s="55" t="n">
        <f aca="false">AX47-AX48-AX49-AX50-AX51</f>
        <v>60321.9418294993</v>
      </c>
      <c r="AY52" s="55" t="n">
        <f aca="false">AY47-AY48-AY49-AY50-AY51</f>
        <v>60321.9418294993</v>
      </c>
      <c r="AZ52" s="55" t="n">
        <f aca="false">AZ47-AZ48-AZ49-AZ50-AZ51</f>
        <v>60321.9418294993</v>
      </c>
      <c r="BA52" s="55" t="n">
        <f aca="false">BA47-BA48-BA49-BA50-BA51</f>
        <v>60321.9418294993</v>
      </c>
      <c r="BB52" s="55" t="n">
        <f aca="false">BB47-BB48-BB49-BB50-BB51</f>
        <v>60321.9418294993</v>
      </c>
      <c r="BC52" s="55" t="n">
        <f aca="false">BC47-BC48-BC49-BC50-BC51</f>
        <v>60321.9418294993</v>
      </c>
      <c r="BD52" s="55" t="n">
        <f aca="false">BD47-BD48-BD49-BD50-BD51</f>
        <v>60321.9418294993</v>
      </c>
      <c r="BE52" s="55" t="n">
        <f aca="false">BE47-BE48-BE49-BE50-BE51</f>
        <v>60321.9418294993</v>
      </c>
      <c r="BF52" s="55" t="n">
        <f aca="false">BF47-BF48-BF49-BF50-BF51</f>
        <v>60321.9418294993</v>
      </c>
      <c r="BG52" s="55" t="n">
        <f aca="false">BG47-BG48-BG49-BG50-BG51</f>
        <v>60321.9418294993</v>
      </c>
      <c r="BH52" s="55" t="n">
        <f aca="false">BH47-BH48-BH49-BH50-BH51</f>
        <v>60321.9418294993</v>
      </c>
      <c r="BI52" s="55" t="n">
        <f aca="false">BI47-BI48-BI49-BI50-BI51</f>
        <v>60321.9418294993</v>
      </c>
      <c r="BJ52" s="55" t="n">
        <f aca="false">BJ47-BJ48-BJ49-BJ50-BJ51</f>
        <v>60321.9418294993</v>
      </c>
      <c r="BK52" s="55" t="n">
        <f aca="false">BK47-BK48-BK49-BK50-BK51</f>
        <v>60321.9418294993</v>
      </c>
    </row>
    <row r="53" customFormat="false" ht="15" hidden="false" customHeight="false" outlineLevel="0" collapsed="false">
      <c r="A53" s="12" t="s">
        <v>101</v>
      </c>
      <c r="C53" s="48" t="n">
        <f aca="false">-ns_invest</f>
        <v>-2350000</v>
      </c>
    </row>
    <row r="54" customFormat="false" ht="15" hidden="false" customHeight="false" outlineLevel="0" collapsed="false">
      <c r="A54" s="12" t="s">
        <v>102</v>
      </c>
      <c r="C54" s="48" t="n">
        <f aca="false">C52+C53</f>
        <v>-2350000</v>
      </c>
      <c r="D54" s="48" t="n">
        <f aca="false">D52+D53</f>
        <v>-4867.78018933749</v>
      </c>
      <c r="E54" s="48" t="n">
        <f aca="false">E52+E53</f>
        <v>-148.58670751048</v>
      </c>
      <c r="F54" s="48" t="n">
        <f aca="false">F52+F53</f>
        <v>4570.60677431648</v>
      </c>
      <c r="G54" s="48" t="n">
        <f aca="false">G52+G53</f>
        <v>9289.8002561435</v>
      </c>
      <c r="H54" s="48" t="n">
        <f aca="false">H52+H53</f>
        <v>14008.9937379705</v>
      </c>
      <c r="I54" s="48" t="n">
        <f aca="false">I52+I53</f>
        <v>18728.1872197975</v>
      </c>
      <c r="J54" s="48" t="n">
        <f aca="false">J52+J53</f>
        <v>23447.3807016245</v>
      </c>
      <c r="K54" s="48" t="n">
        <f aca="false">K52+K53</f>
        <v>28166.5741834515</v>
      </c>
      <c r="L54" s="48" t="n">
        <f aca="false">L52+L53</f>
        <v>32885.7676652785</v>
      </c>
      <c r="M54" s="48" t="n">
        <f aca="false">M52+M53</f>
        <v>37604.9611471055</v>
      </c>
      <c r="N54" s="48" t="n">
        <f aca="false">N52+N53</f>
        <v>42324.1546289325</v>
      </c>
      <c r="O54" s="48" t="n">
        <f aca="false">O52+O53</f>
        <v>46158.8441594524</v>
      </c>
      <c r="P54" s="48" t="n">
        <f aca="false">P52+P53</f>
        <v>48519.3604377935</v>
      </c>
      <c r="Q54" s="48" t="n">
        <f aca="false">Q52+Q53</f>
        <v>50879.8767161347</v>
      </c>
      <c r="R54" s="48" t="n">
        <f aca="false">R52+R53</f>
        <v>53240.3929944758</v>
      </c>
      <c r="S54" s="48" t="n">
        <f aca="false">S52+S53</f>
        <v>55600.9092728169</v>
      </c>
      <c r="T54" s="48" t="n">
        <f aca="false">T52+T53</f>
        <v>57961.4255511581</v>
      </c>
      <c r="U54" s="48" t="n">
        <f aca="false">U52+U53</f>
        <v>60321.9418294993</v>
      </c>
      <c r="V54" s="48" t="n">
        <f aca="false">V52+V53</f>
        <v>60321.9418294993</v>
      </c>
      <c r="W54" s="48" t="n">
        <f aca="false">W52+W53</f>
        <v>60321.9418294993</v>
      </c>
      <c r="X54" s="48" t="n">
        <f aca="false">X52+X53</f>
        <v>60321.9418294993</v>
      </c>
      <c r="Y54" s="48" t="n">
        <f aca="false">Y52+Y53</f>
        <v>60321.9418294993</v>
      </c>
      <c r="Z54" s="48" t="n">
        <f aca="false">Z52+Z53</f>
        <v>60321.9418294993</v>
      </c>
      <c r="AA54" s="48" t="n">
        <f aca="false">AA52+AA53</f>
        <v>60321.9418294993</v>
      </c>
      <c r="AB54" s="48" t="n">
        <f aca="false">AB52+AB53</f>
        <v>60321.9418294993</v>
      </c>
      <c r="AC54" s="48" t="n">
        <f aca="false">AC52+AC53</f>
        <v>60321.9418294993</v>
      </c>
      <c r="AD54" s="48" t="n">
        <f aca="false">AD52+AD53</f>
        <v>60321.9418294993</v>
      </c>
      <c r="AE54" s="48" t="n">
        <f aca="false">AE52+AE53</f>
        <v>60321.9418294993</v>
      </c>
      <c r="AF54" s="48" t="n">
        <f aca="false">AF52+AF53</f>
        <v>60321.9418294993</v>
      </c>
      <c r="AG54" s="48" t="n">
        <f aca="false">AG52+AG53</f>
        <v>60321.9418294993</v>
      </c>
      <c r="AH54" s="48" t="n">
        <f aca="false">AH52+AH53</f>
        <v>60321.9418294993</v>
      </c>
      <c r="AI54" s="48" t="n">
        <f aca="false">AI52+AI53</f>
        <v>60321.9418294993</v>
      </c>
      <c r="AJ54" s="48" t="n">
        <f aca="false">AJ52+AJ53</f>
        <v>60321.9418294993</v>
      </c>
      <c r="AK54" s="48" t="n">
        <f aca="false">AK52+AK53</f>
        <v>60321.9418294993</v>
      </c>
      <c r="AL54" s="48" t="n">
        <f aca="false">AL52+AL53</f>
        <v>60321.9418294993</v>
      </c>
      <c r="AM54" s="48" t="n">
        <f aca="false">AM52+AM53</f>
        <v>60321.9418294993</v>
      </c>
      <c r="AN54" s="48" t="n">
        <f aca="false">AN52+AN53</f>
        <v>60321.9418294993</v>
      </c>
      <c r="AO54" s="48" t="n">
        <f aca="false">AO52+AO53</f>
        <v>60321.9418294993</v>
      </c>
      <c r="AP54" s="48" t="n">
        <f aca="false">AP52+AP53</f>
        <v>60321.9418294993</v>
      </c>
      <c r="AQ54" s="48" t="n">
        <f aca="false">AQ52+AQ53</f>
        <v>60321.9418294993</v>
      </c>
      <c r="AR54" s="48" t="n">
        <f aca="false">AR52+AR53</f>
        <v>60321.9418294993</v>
      </c>
      <c r="AS54" s="48" t="n">
        <f aca="false">AS52+AS53</f>
        <v>60321.9418294993</v>
      </c>
      <c r="AT54" s="48" t="n">
        <f aca="false">AT52+AT53</f>
        <v>60321.9418294993</v>
      </c>
      <c r="AU54" s="48" t="n">
        <f aca="false">AU52+AU53</f>
        <v>60321.9418294993</v>
      </c>
      <c r="AV54" s="48" t="n">
        <f aca="false">AV52+AV53</f>
        <v>60321.9418294993</v>
      </c>
      <c r="AW54" s="48" t="n">
        <f aca="false">AW52+AW53</f>
        <v>60321.9418294993</v>
      </c>
      <c r="AX54" s="48" t="n">
        <f aca="false">AX52+AX53</f>
        <v>60321.9418294993</v>
      </c>
      <c r="AY54" s="48" t="n">
        <f aca="false">AY52+AY53</f>
        <v>60321.9418294993</v>
      </c>
      <c r="AZ54" s="48" t="n">
        <f aca="false">AZ52+AZ53</f>
        <v>60321.9418294993</v>
      </c>
      <c r="BA54" s="48" t="n">
        <f aca="false">BA52+BA53</f>
        <v>60321.9418294993</v>
      </c>
      <c r="BB54" s="48" t="n">
        <f aca="false">BB52+BB53</f>
        <v>60321.9418294993</v>
      </c>
      <c r="BC54" s="48" t="n">
        <f aca="false">BC52+BC53</f>
        <v>60321.9418294993</v>
      </c>
      <c r="BD54" s="48" t="n">
        <f aca="false">BD52+BD53</f>
        <v>60321.9418294993</v>
      </c>
      <c r="BE54" s="48" t="n">
        <f aca="false">BE52+BE53</f>
        <v>60321.9418294993</v>
      </c>
      <c r="BF54" s="48" t="n">
        <f aca="false">BF52+BF53</f>
        <v>60321.9418294993</v>
      </c>
      <c r="BG54" s="48" t="n">
        <f aca="false">BG52+BG53</f>
        <v>60321.9418294993</v>
      </c>
      <c r="BH54" s="48" t="n">
        <f aca="false">BH52+BH53</f>
        <v>60321.9418294993</v>
      </c>
      <c r="BI54" s="48" t="n">
        <f aca="false">BI52+BI53</f>
        <v>60321.9418294993</v>
      </c>
      <c r="BJ54" s="48" t="n">
        <f aca="false">BJ52+BJ53</f>
        <v>60321.9418294993</v>
      </c>
      <c r="BK54" s="48" t="n">
        <f aca="false">BK52+BK53</f>
        <v>60321.9418294993</v>
      </c>
    </row>
    <row r="55" customFormat="false" ht="15" hidden="false" customHeight="false" outlineLevel="0" collapsed="false">
      <c r="A55" s="3" t="s">
        <v>103</v>
      </c>
      <c r="C55" s="56" t="n">
        <f aca="false">C54</f>
        <v>-2350000</v>
      </c>
      <c r="D55" s="56" t="n">
        <f aca="false">C55+D54</f>
        <v>-2354867.78018934</v>
      </c>
      <c r="E55" s="56" t="n">
        <f aca="false">D55+E54</f>
        <v>-2355016.36689685</v>
      </c>
      <c r="F55" s="56" t="n">
        <f aca="false">E55+F54</f>
        <v>-2350445.76012253</v>
      </c>
      <c r="G55" s="56" t="n">
        <f aca="false">F55+G54</f>
        <v>-2341155.95986639</v>
      </c>
      <c r="H55" s="56" t="n">
        <f aca="false">G55+H54</f>
        <v>-2327146.96612842</v>
      </c>
      <c r="I55" s="56" t="n">
        <f aca="false">H55+I54</f>
        <v>-2308418.77890862</v>
      </c>
      <c r="J55" s="56" t="n">
        <f aca="false">I55+J54</f>
        <v>-2284971.398207</v>
      </c>
      <c r="K55" s="56" t="n">
        <f aca="false">J55+K54</f>
        <v>-2256804.82402354</v>
      </c>
      <c r="L55" s="56" t="n">
        <f aca="false">K55+L54</f>
        <v>-2223919.05635827</v>
      </c>
      <c r="M55" s="56" t="n">
        <f aca="false">L55+M54</f>
        <v>-2186314.09521116</v>
      </c>
      <c r="N55" s="56" t="n">
        <f aca="false">M55+N54</f>
        <v>-2143989.94058223</v>
      </c>
      <c r="O55" s="56" t="n">
        <f aca="false">N55+O54</f>
        <v>-2097831.09642278</v>
      </c>
      <c r="P55" s="56" t="n">
        <f aca="false">O55+P54</f>
        <v>-2049311.73598498</v>
      </c>
      <c r="Q55" s="56" t="n">
        <f aca="false">P55+Q54</f>
        <v>-1998431.85926885</v>
      </c>
      <c r="R55" s="56" t="n">
        <f aca="false">Q55+R54</f>
        <v>-1945191.46627437</v>
      </c>
      <c r="S55" s="56" t="n">
        <f aca="false">R55+S54</f>
        <v>-1889590.55700155</v>
      </c>
      <c r="T55" s="56" t="n">
        <f aca="false">S55+T54</f>
        <v>-1831629.1314504</v>
      </c>
      <c r="U55" s="56" t="n">
        <f aca="false">T55+U54</f>
        <v>-1771307.1896209</v>
      </c>
      <c r="V55" s="56" t="n">
        <f aca="false">U55+V54</f>
        <v>-1710985.2477914</v>
      </c>
      <c r="W55" s="56" t="n">
        <f aca="false">V55+W54</f>
        <v>-1650663.3059619</v>
      </c>
      <c r="X55" s="56" t="n">
        <f aca="false">W55+X54</f>
        <v>-1590341.3641324</v>
      </c>
      <c r="Y55" s="56" t="n">
        <f aca="false">X55+Y54</f>
        <v>-1530019.4223029</v>
      </c>
      <c r="Z55" s="56" t="n">
        <f aca="false">Y55+Z54</f>
        <v>-1469697.4804734</v>
      </c>
      <c r="AA55" s="56" t="n">
        <f aca="false">Z55+AA54</f>
        <v>-1409375.5386439</v>
      </c>
      <c r="AB55" s="56" t="n">
        <f aca="false">AA55+AB54</f>
        <v>-1349053.5968144</v>
      </c>
      <c r="AC55" s="56" t="n">
        <f aca="false">AB55+AC54</f>
        <v>-1288731.6549849</v>
      </c>
      <c r="AD55" s="56" t="n">
        <f aca="false">AC55+AD54</f>
        <v>-1228409.7131554</v>
      </c>
      <c r="AE55" s="56" t="n">
        <f aca="false">AD55+AE54</f>
        <v>-1168087.7713259</v>
      </c>
      <c r="AF55" s="56" t="n">
        <f aca="false">AE55+AF54</f>
        <v>-1107765.8294964</v>
      </c>
      <c r="AG55" s="56" t="n">
        <f aca="false">AF55+AG54</f>
        <v>-1047443.88766691</v>
      </c>
      <c r="AH55" s="56" t="n">
        <f aca="false">AG55+AH54</f>
        <v>-987121.945837406</v>
      </c>
      <c r="AI55" s="56" t="n">
        <f aca="false">AH55+AI54</f>
        <v>-926800.004007907</v>
      </c>
      <c r="AJ55" s="56" t="n">
        <f aca="false">AI55+AJ54</f>
        <v>-866478.062178408</v>
      </c>
      <c r="AK55" s="56" t="n">
        <f aca="false">AJ55+AK54</f>
        <v>-806156.120348909</v>
      </c>
      <c r="AL55" s="56" t="n">
        <f aca="false">AK55+AL54</f>
        <v>-745834.17851941</v>
      </c>
      <c r="AM55" s="56" t="n">
        <f aca="false">AL55+AM54</f>
        <v>-685512.23668991</v>
      </c>
      <c r="AN55" s="56" t="n">
        <f aca="false">AM55+AN54</f>
        <v>-625190.294860411</v>
      </c>
      <c r="AO55" s="56" t="n">
        <f aca="false">AN55+AO54</f>
        <v>-564868.353030912</v>
      </c>
      <c r="AP55" s="56" t="n">
        <f aca="false">AO55+AP54</f>
        <v>-504546.411201413</v>
      </c>
      <c r="AQ55" s="56" t="n">
        <f aca="false">AP55+AQ54</f>
        <v>-444224.469371913</v>
      </c>
      <c r="AR55" s="56" t="n">
        <f aca="false">AQ55+AR54</f>
        <v>-383902.527542414</v>
      </c>
      <c r="AS55" s="56" t="n">
        <f aca="false">AR55+AS54</f>
        <v>-323580.585712915</v>
      </c>
      <c r="AT55" s="56" t="n">
        <f aca="false">AS55+AT54</f>
        <v>-263258.643883416</v>
      </c>
      <c r="AU55" s="56" t="n">
        <f aca="false">AT55+AU54</f>
        <v>-202936.702053916</v>
      </c>
      <c r="AV55" s="56" t="n">
        <f aca="false">AU55+AV54</f>
        <v>-142614.760224417</v>
      </c>
      <c r="AW55" s="56" t="n">
        <f aca="false">AV55+AW54</f>
        <v>-82292.8183949179</v>
      </c>
      <c r="AX55" s="56" t="n">
        <f aca="false">AW55+AX54</f>
        <v>-21970.8765654186</v>
      </c>
      <c r="AY55" s="56" t="n">
        <f aca="false">AX55+AY54</f>
        <v>38351.0652640806</v>
      </c>
      <c r="AZ55" s="56" t="n">
        <f aca="false">AY55+AZ54</f>
        <v>98673.0070935799</v>
      </c>
      <c r="BA55" s="56" t="n">
        <f aca="false">AZ55+BA54</f>
        <v>158994.948923079</v>
      </c>
      <c r="BB55" s="56" t="n">
        <f aca="false">BA55+BB54</f>
        <v>219316.890752578</v>
      </c>
      <c r="BC55" s="56" t="n">
        <f aca="false">BB55+BC54</f>
        <v>279638.832582078</v>
      </c>
      <c r="BD55" s="56" t="n">
        <f aca="false">BC55+BD54</f>
        <v>339960.774411577</v>
      </c>
      <c r="BE55" s="56" t="n">
        <f aca="false">BD55+BE54</f>
        <v>400282.716241076</v>
      </c>
      <c r="BF55" s="56" t="n">
        <f aca="false">BE55+BF54</f>
        <v>460604.658070575</v>
      </c>
      <c r="BG55" s="56" t="n">
        <f aca="false">BF55+BG54</f>
        <v>520926.599900075</v>
      </c>
      <c r="BH55" s="56" t="n">
        <f aca="false">BG55+BH54</f>
        <v>581248.541729574</v>
      </c>
      <c r="BI55" s="56" t="n">
        <f aca="false">BH55+BI54</f>
        <v>641570.483559073</v>
      </c>
      <c r="BJ55" s="56" t="n">
        <f aca="false">BI55+BJ54</f>
        <v>701892.425388572</v>
      </c>
      <c r="BK55" s="56" t="n">
        <f aca="false">BJ55+BK54</f>
        <v>762214.367218072</v>
      </c>
    </row>
    <row r="56" customFormat="false" ht="15" hidden="false" customHeight="false" outlineLevel="0" collapsed="false">
      <c r="A56" s="2" t="s">
        <v>104</v>
      </c>
      <c r="D56" s="57" t="n">
        <f aca="false">IF(D55&gt;=0,D$43,999)</f>
        <v>999</v>
      </c>
      <c r="E56" s="57" t="n">
        <f aca="false">IF(E55&gt;=0,E$43,999)</f>
        <v>999</v>
      </c>
      <c r="F56" s="57" t="n">
        <f aca="false">IF(F55&gt;=0,F$43,999)</f>
        <v>999</v>
      </c>
      <c r="G56" s="57" t="n">
        <f aca="false">IF(G55&gt;=0,G$43,999)</f>
        <v>999</v>
      </c>
      <c r="H56" s="57" t="n">
        <f aca="false">IF(H55&gt;=0,H$43,999)</f>
        <v>999</v>
      </c>
      <c r="I56" s="57" t="n">
        <f aca="false">IF(I55&gt;=0,I$43,999)</f>
        <v>999</v>
      </c>
      <c r="J56" s="57" t="n">
        <f aca="false">IF(J55&gt;=0,J$43,999)</f>
        <v>999</v>
      </c>
      <c r="K56" s="57" t="n">
        <f aca="false">IF(K55&gt;=0,K$43,999)</f>
        <v>999</v>
      </c>
      <c r="L56" s="57" t="n">
        <f aca="false">IF(L55&gt;=0,L$43,999)</f>
        <v>999</v>
      </c>
      <c r="M56" s="57" t="n">
        <f aca="false">IF(M55&gt;=0,M$43,999)</f>
        <v>999</v>
      </c>
      <c r="N56" s="57" t="n">
        <f aca="false">IF(N55&gt;=0,N$43,999)</f>
        <v>999</v>
      </c>
      <c r="O56" s="57" t="n">
        <f aca="false">IF(O55&gt;=0,O$43,999)</f>
        <v>999</v>
      </c>
      <c r="P56" s="57" t="n">
        <f aca="false">IF(P55&gt;=0,P$43,999)</f>
        <v>999</v>
      </c>
      <c r="Q56" s="57" t="n">
        <f aca="false">IF(Q55&gt;=0,Q$43,999)</f>
        <v>999</v>
      </c>
      <c r="R56" s="57" t="n">
        <f aca="false">IF(R55&gt;=0,R$43,999)</f>
        <v>999</v>
      </c>
      <c r="S56" s="57" t="n">
        <f aca="false">IF(S55&gt;=0,S$43,999)</f>
        <v>999</v>
      </c>
      <c r="T56" s="57" t="n">
        <f aca="false">IF(T55&gt;=0,T$43,999)</f>
        <v>999</v>
      </c>
      <c r="U56" s="57" t="n">
        <f aca="false">IF(U55&gt;=0,U$43,999)</f>
        <v>999</v>
      </c>
      <c r="V56" s="57" t="n">
        <f aca="false">IF(V55&gt;=0,V$43,999)</f>
        <v>999</v>
      </c>
      <c r="W56" s="57" t="n">
        <f aca="false">IF(W55&gt;=0,W$43,999)</f>
        <v>999</v>
      </c>
      <c r="X56" s="57" t="n">
        <f aca="false">IF(X55&gt;=0,X$43,999)</f>
        <v>999</v>
      </c>
      <c r="Y56" s="57" t="n">
        <f aca="false">IF(Y55&gt;=0,Y$43,999)</f>
        <v>999</v>
      </c>
      <c r="Z56" s="57" t="n">
        <f aca="false">IF(Z55&gt;=0,Z$43,999)</f>
        <v>999</v>
      </c>
      <c r="AA56" s="58" t="n">
        <f aca="false">IF(AA55&gt;=0,AA$43,999)</f>
        <v>999</v>
      </c>
      <c r="AB56" s="58" t="n">
        <f aca="false">IF(AB55&gt;=0,AB$43,999)</f>
        <v>999</v>
      </c>
      <c r="AC56" s="58" t="n">
        <f aca="false">IF(AC55&gt;=0,AC$43,999)</f>
        <v>999</v>
      </c>
      <c r="AD56" s="58" t="n">
        <f aca="false">IF(AD55&gt;=0,AD$43,999)</f>
        <v>999</v>
      </c>
      <c r="AE56" s="58" t="n">
        <f aca="false">IF(AE55&gt;=0,AE$43,999)</f>
        <v>999</v>
      </c>
      <c r="AF56" s="58" t="n">
        <f aca="false">IF(AF55&gt;=0,AF$43,999)</f>
        <v>999</v>
      </c>
      <c r="AG56" s="58" t="n">
        <f aca="false">IF(AG55&gt;=0,AG$43,999)</f>
        <v>999</v>
      </c>
      <c r="AH56" s="58" t="n">
        <f aca="false">IF(AH55&gt;=0,AH$43,999)</f>
        <v>999</v>
      </c>
      <c r="AI56" s="58" t="n">
        <f aca="false">IF(AI55&gt;=0,AI$43,999)</f>
        <v>999</v>
      </c>
      <c r="AJ56" s="58" t="n">
        <f aca="false">IF(AJ55&gt;=0,AJ$43,999)</f>
        <v>999</v>
      </c>
      <c r="AK56" s="58" t="n">
        <f aca="false">IF(AK55&gt;=0,AK$43,999)</f>
        <v>999</v>
      </c>
      <c r="AL56" s="58" t="n">
        <f aca="false">IF(AL55&gt;=0,AL$43,999)</f>
        <v>999</v>
      </c>
      <c r="AM56" s="58" t="n">
        <f aca="false">IF(AM55&gt;=0,AM$43,999)</f>
        <v>999</v>
      </c>
      <c r="AN56" s="58" t="n">
        <f aca="false">IF(AN55&gt;=0,AN$43,999)</f>
        <v>999</v>
      </c>
      <c r="AO56" s="58" t="n">
        <f aca="false">IF(AO55&gt;=0,AO$43,999)</f>
        <v>999</v>
      </c>
      <c r="AP56" s="58" t="n">
        <f aca="false">IF(AP55&gt;=0,AP$43,999)</f>
        <v>999</v>
      </c>
      <c r="AQ56" s="58" t="n">
        <f aca="false">IF(AQ55&gt;=0,AQ$43,999)</f>
        <v>999</v>
      </c>
      <c r="AR56" s="58" t="n">
        <f aca="false">IF(AR55&gt;=0,AR$43,999)</f>
        <v>999</v>
      </c>
      <c r="AS56" s="58" t="n">
        <f aca="false">IF(AS55&gt;=0,AS$43,999)</f>
        <v>999</v>
      </c>
      <c r="AT56" s="58" t="n">
        <f aca="false">IF(AT55&gt;=0,AT$43,999)</f>
        <v>999</v>
      </c>
      <c r="AU56" s="58" t="n">
        <f aca="false">IF(AU55&gt;=0,AU$43,999)</f>
        <v>999</v>
      </c>
      <c r="AV56" s="58" t="n">
        <f aca="false">IF(AV55&gt;=0,AV$43,999)</f>
        <v>999</v>
      </c>
      <c r="AW56" s="58" t="n">
        <f aca="false">IF(AW55&gt;=0,AW$43,999)</f>
        <v>999</v>
      </c>
      <c r="AX56" s="58" t="n">
        <f aca="false">IF(AX55&gt;=0,AX$43,999)</f>
        <v>999</v>
      </c>
      <c r="AY56" s="58" t="n">
        <f aca="false">IF(AY55&gt;=0,AY$43,999)</f>
        <v>48</v>
      </c>
      <c r="AZ56" s="58" t="n">
        <f aca="false">IF(AZ55&gt;=0,AZ$43,999)</f>
        <v>49</v>
      </c>
      <c r="BA56" s="57" t="n">
        <f aca="false">IF(BA55&gt;=0,BA$43,999)</f>
        <v>50</v>
      </c>
      <c r="BB56" s="57" t="n">
        <f aca="false">IF(BB55&gt;=0,BB$43,999)</f>
        <v>51</v>
      </c>
      <c r="BC56" s="57" t="n">
        <f aca="false">IF(BC55&gt;=0,BC$43,999)</f>
        <v>52</v>
      </c>
      <c r="BD56" s="57" t="n">
        <f aca="false">IF(BD55&gt;=0,BD$43,999)</f>
        <v>53</v>
      </c>
      <c r="BE56" s="57" t="n">
        <f aca="false">IF(BE55&gt;=0,BE$43,999)</f>
        <v>54</v>
      </c>
      <c r="BF56" s="57" t="n">
        <f aca="false">IF(BF55&gt;=0,BF$43,999)</f>
        <v>55</v>
      </c>
      <c r="BG56" s="57" t="n">
        <f aca="false">IF(BG55&gt;=0,BG$43,999)</f>
        <v>56</v>
      </c>
      <c r="BH56" s="57" t="n">
        <f aca="false">IF(BH55&gt;=0,BH$43,999)</f>
        <v>57</v>
      </c>
      <c r="BI56" s="57" t="n">
        <f aca="false">IF(BI55&gt;=0,BI$43,999)</f>
        <v>58</v>
      </c>
      <c r="BJ56" s="57" t="n">
        <f aca="false">IF(BJ55&gt;=0,BJ$43,999)</f>
        <v>59</v>
      </c>
      <c r="BK56" s="57" t="n">
        <f aca="false">IF(BK55&gt;=0,BK$43,999)</f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45A"/>
    <pageSetUpPr fitToPage="false"/>
  </sheetPr>
  <dimension ref="A1:T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20" min="3" style="0" width="10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tr">
        <f aca="false">"The next 13 weeks for the stores open today, plus the new store build. Scenario: "&amp;scenario</f>
        <v>The next 13 weeks for the stores open today, plus the new store build. Scenario: Base</v>
      </c>
    </row>
    <row r="4" customFormat="false" ht="15" hidden="false" customHeight="false" outlineLevel="0" collapsed="false">
      <c r="A4" s="10" t="s">
        <v>106</v>
      </c>
      <c r="B4" s="11"/>
      <c r="C4" s="11"/>
      <c r="D4" s="11"/>
      <c r="E4" s="11"/>
      <c r="F4" s="11"/>
    </row>
    <row r="5" customFormat="false" ht="15" hidden="false" customHeight="false" outlineLevel="0" collapsed="false">
      <c r="A5" s="12" t="s">
        <v>65</v>
      </c>
      <c r="B5" s="59" t="n">
        <f aca="false">cash_open</f>
        <v>750000</v>
      </c>
    </row>
    <row r="6" customFormat="false" ht="15" hidden="false" customHeight="false" outlineLevel="0" collapsed="false">
      <c r="A6" s="12" t="s">
        <v>107</v>
      </c>
      <c r="B6" s="24" t="n">
        <f aca="false">MIN(H28:T28)</f>
        <v>-1134848.27174883</v>
      </c>
      <c r="C6" s="5" t="str">
        <f aca="false">"in week "&amp;INDEX(H12:T12,MATCH(B6,H28:T28,0))</f>
        <v>in week 13</v>
      </c>
    </row>
    <row r="7" customFormat="false" ht="15" hidden="false" customHeight="false" outlineLevel="0" collapsed="false">
      <c r="A7" s="12" t="s">
        <v>108</v>
      </c>
      <c r="B7" s="24" t="n">
        <f aca="false">T28</f>
        <v>-1134848.27174883</v>
      </c>
    </row>
    <row r="8" customFormat="false" ht="15" hidden="false" customHeight="false" outlineLevel="0" collapsed="false">
      <c r="A8" s="3" t="s">
        <v>109</v>
      </c>
      <c r="B8" s="24" t="n">
        <f aca="false">MAX(0,cash_cushion-B6)</f>
        <v>1384848.27174883</v>
      </c>
    </row>
    <row r="9" customFormat="false" ht="15" hidden="false" customHeight="false" outlineLevel="0" collapsed="false">
      <c r="A9" s="12" t="s">
        <v>110</v>
      </c>
      <c r="B9" s="24" t="n">
        <f aca="false">SUM(H25:T25)</f>
        <v>230151.728251165</v>
      </c>
    </row>
    <row r="11" customFormat="false" ht="15" hidden="false" customHeight="false" outlineLevel="0" collapsed="false">
      <c r="A11" s="10" t="s">
        <v>111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customFormat="false" ht="15" hidden="false" customHeight="false" outlineLevel="0" collapsed="false">
      <c r="A12" s="3" t="s">
        <v>112</v>
      </c>
      <c r="B12" s="60" t="n">
        <v>-6</v>
      </c>
      <c r="C12" s="60" t="n">
        <v>-5</v>
      </c>
      <c r="D12" s="60" t="n">
        <v>-4</v>
      </c>
      <c r="E12" s="60" t="n">
        <v>-3</v>
      </c>
      <c r="F12" s="60" t="n">
        <v>-2</v>
      </c>
      <c r="G12" s="60" t="n">
        <v>-1</v>
      </c>
      <c r="H12" s="60" t="n">
        <v>1</v>
      </c>
      <c r="I12" s="60" t="n">
        <v>2</v>
      </c>
      <c r="J12" s="60" t="n">
        <v>3</v>
      </c>
      <c r="K12" s="60" t="n">
        <v>4</v>
      </c>
      <c r="L12" s="60" t="n">
        <v>5</v>
      </c>
      <c r="M12" s="60" t="n">
        <v>6</v>
      </c>
      <c r="N12" s="60" t="n">
        <v>7</v>
      </c>
      <c r="O12" s="60" t="n">
        <v>8</v>
      </c>
      <c r="P12" s="60" t="n">
        <v>9</v>
      </c>
      <c r="Q12" s="60" t="n">
        <v>10</v>
      </c>
      <c r="R12" s="60" t="n">
        <v>11</v>
      </c>
      <c r="S12" s="60" t="n">
        <v>12</v>
      </c>
      <c r="T12" s="60" t="n">
        <v>13</v>
      </c>
    </row>
    <row r="13" customFormat="false" ht="15" hidden="false" customHeight="false" outlineLevel="0" collapsed="false">
      <c r="A13" s="12" t="s">
        <v>113</v>
      </c>
      <c r="B13" s="61" t="n">
        <f aca="false">C13-7</f>
        <v>46252</v>
      </c>
      <c r="C13" s="61" t="n">
        <f aca="false">D13-7</f>
        <v>46259</v>
      </c>
      <c r="D13" s="61" t="n">
        <f aca="false">E13-7</f>
        <v>46266</v>
      </c>
      <c r="E13" s="61" t="n">
        <f aca="false">F13-7</f>
        <v>46273</v>
      </c>
      <c r="F13" s="61" t="n">
        <f aca="false">G13-7</f>
        <v>46280</v>
      </c>
      <c r="G13" s="61" t="n">
        <f aca="false">H13-7</f>
        <v>46287</v>
      </c>
      <c r="H13" s="62" t="n">
        <v>46294</v>
      </c>
      <c r="I13" s="61" t="n">
        <f aca="false">H13+7</f>
        <v>46301</v>
      </c>
      <c r="J13" s="61" t="n">
        <f aca="false">I13+7</f>
        <v>46308</v>
      </c>
      <c r="K13" s="61" t="n">
        <f aca="false">J13+7</f>
        <v>46315</v>
      </c>
      <c r="L13" s="61" t="n">
        <f aca="false">K13+7</f>
        <v>46322</v>
      </c>
      <c r="M13" s="61" t="n">
        <f aca="false">L13+7</f>
        <v>46329</v>
      </c>
      <c r="N13" s="61" t="n">
        <f aca="false">M13+7</f>
        <v>46336</v>
      </c>
      <c r="O13" s="61" t="n">
        <f aca="false">N13+7</f>
        <v>46343</v>
      </c>
      <c r="P13" s="61" t="n">
        <f aca="false">O13+7</f>
        <v>46350</v>
      </c>
      <c r="Q13" s="61" t="n">
        <f aca="false">P13+7</f>
        <v>46357</v>
      </c>
      <c r="R13" s="61" t="n">
        <f aca="false">Q13+7</f>
        <v>46364</v>
      </c>
      <c r="S13" s="61" t="n">
        <f aca="false">R13+7</f>
        <v>46371</v>
      </c>
      <c r="T13" s="61" t="n">
        <f aca="false">S13+7</f>
        <v>46378</v>
      </c>
    </row>
    <row r="14" customFormat="false" ht="15" hidden="false" customHeight="false" outlineLevel="0" collapsed="false">
      <c r="A14" s="12" t="s">
        <v>87</v>
      </c>
      <c r="B14" s="63" t="n">
        <f aca="false">Data!D31</f>
        <v>309198.76</v>
      </c>
      <c r="C14" s="63" t="n">
        <f aca="false">Data!D32</f>
        <v>302553</v>
      </c>
      <c r="D14" s="63" t="n">
        <f aca="false">Data!D33</f>
        <v>297074.34</v>
      </c>
      <c r="E14" s="63" t="n">
        <f aca="false">Data!D34</f>
        <v>346261.53</v>
      </c>
      <c r="F14" s="63" t="n">
        <f aca="false">Data!D35</f>
        <v>380597.44</v>
      </c>
      <c r="G14" s="63" t="n">
        <f aca="false">Data!D36</f>
        <v>374681.5</v>
      </c>
      <c r="H14" s="48" t="n">
        <f aca="false">stores_runrate/365*7*(1+sales_shock)</f>
        <v>368253.442298246</v>
      </c>
      <c r="I14" s="48" t="n">
        <f aca="false">stores_runrate/365*7*(1+sales_shock)</f>
        <v>368253.442298246</v>
      </c>
      <c r="J14" s="48" t="n">
        <f aca="false">stores_runrate/365*7*(1+sales_shock)</f>
        <v>368253.442298246</v>
      </c>
      <c r="K14" s="48" t="n">
        <f aca="false">stores_runrate/365*7*(1+sales_shock)</f>
        <v>368253.442298246</v>
      </c>
      <c r="L14" s="48" t="n">
        <f aca="false">stores_runrate/365*7*(1+sales_shock)</f>
        <v>368253.442298246</v>
      </c>
      <c r="M14" s="48" t="n">
        <f aca="false">stores_runrate/365*7*(1+sales_shock)</f>
        <v>368253.442298246</v>
      </c>
      <c r="N14" s="48" t="n">
        <f aca="false">stores_runrate/365*7*(1+sales_shock)</f>
        <v>368253.442298246</v>
      </c>
      <c r="O14" s="48" t="n">
        <f aca="false">stores_runrate/365*7*(1+sales_shock)</f>
        <v>368253.442298246</v>
      </c>
      <c r="P14" s="48" t="n">
        <f aca="false">stores_runrate/365*7*(1+sales_shock)</f>
        <v>368253.442298246</v>
      </c>
      <c r="Q14" s="48" t="n">
        <f aca="false">stores_runrate/365*7*(1+sales_shock)</f>
        <v>368253.442298246</v>
      </c>
      <c r="R14" s="48" t="n">
        <f aca="false">stores_runrate/365*7*(1+sales_shock)</f>
        <v>368253.442298246</v>
      </c>
      <c r="S14" s="48" t="n">
        <f aca="false">stores_runrate/365*7*(1+sales_shock)</f>
        <v>368253.442298246</v>
      </c>
      <c r="T14" s="48" t="n">
        <f aca="false">stores_runrate/365*7*(1+sales_shock)</f>
        <v>368253.442298246</v>
      </c>
    </row>
    <row r="15" customFormat="false" ht="15" hidden="false" customHeight="false" outlineLevel="0" collapsed="false">
      <c r="A15" s="12" t="s">
        <v>114</v>
      </c>
      <c r="B15" s="63" t="n">
        <f aca="false">Data!G31</f>
        <v>167337.21</v>
      </c>
      <c r="C15" s="63" t="n">
        <f aca="false">Data!G32</f>
        <v>163915.35</v>
      </c>
      <c r="D15" s="63" t="n">
        <f aca="false">Data!G33</f>
        <v>160959.93</v>
      </c>
      <c r="E15" s="63" t="n">
        <f aca="false">Data!G34</f>
        <v>187278.75</v>
      </c>
      <c r="F15" s="63" t="n">
        <f aca="false">Data!G35</f>
        <v>204914.79</v>
      </c>
      <c r="G15" s="63" t="n">
        <f aca="false">Data!G36</f>
        <v>201595.68</v>
      </c>
      <c r="H15" s="48" t="n">
        <f aca="false">H14*(1-gm_actual)+H14*waste_actual</f>
        <v>198802.30424894</v>
      </c>
      <c r="I15" s="48" t="n">
        <f aca="false">I14*(1-gm_actual)+I14*waste_actual</f>
        <v>198802.30424894</v>
      </c>
      <c r="J15" s="48" t="n">
        <f aca="false">J14*(1-gm_actual)+J14*waste_actual</f>
        <v>198802.30424894</v>
      </c>
      <c r="K15" s="48" t="n">
        <f aca="false">K14*(1-gm_actual)+K14*waste_actual</f>
        <v>198802.30424894</v>
      </c>
      <c r="L15" s="48" t="n">
        <f aca="false">L14*(1-gm_actual)+L14*waste_actual</f>
        <v>198802.30424894</v>
      </c>
      <c r="M15" s="48" t="n">
        <f aca="false">M14*(1-gm_actual)+M14*waste_actual</f>
        <v>198802.30424894</v>
      </c>
      <c r="N15" s="48" t="n">
        <f aca="false">N14*(1-gm_actual)+N14*waste_actual</f>
        <v>198802.30424894</v>
      </c>
      <c r="O15" s="48" t="n">
        <f aca="false">O14*(1-gm_actual)+O14*waste_actual</f>
        <v>198802.30424894</v>
      </c>
      <c r="P15" s="48" t="n">
        <f aca="false">P14*(1-gm_actual)+P14*waste_actual</f>
        <v>198802.30424894</v>
      </c>
      <c r="Q15" s="48" t="n">
        <f aca="false">Q14*(1-gm_actual)+Q14*waste_actual</f>
        <v>198802.30424894</v>
      </c>
      <c r="R15" s="48" t="n">
        <f aca="false">R14*(1-gm_actual)+R14*waste_actual</f>
        <v>198802.30424894</v>
      </c>
      <c r="S15" s="48" t="n">
        <f aca="false">S14*(1-gm_actual)+S14*waste_actual</f>
        <v>198802.30424894</v>
      </c>
      <c r="T15" s="48" t="n">
        <f aca="false">T14*(1-gm_actual)+T14*waste_actual</f>
        <v>198802.30424894</v>
      </c>
    </row>
    <row r="17" customFormat="false" ht="15" hidden="false" customHeight="false" outlineLevel="0" collapsed="false">
      <c r="A17" s="3" t="s">
        <v>115</v>
      </c>
    </row>
    <row r="18" customFormat="false" ht="15" hidden="false" customHeight="false" outlineLevel="0" collapsed="false">
      <c r="A18" s="12" t="s">
        <v>116</v>
      </c>
      <c r="H18" s="48" t="n">
        <f aca="false">H14</f>
        <v>368253.442298246</v>
      </c>
      <c r="I18" s="48" t="n">
        <f aca="false">I14</f>
        <v>368253.442298246</v>
      </c>
      <c r="J18" s="48" t="n">
        <f aca="false">J14</f>
        <v>368253.442298246</v>
      </c>
      <c r="K18" s="48" t="n">
        <f aca="false">K14</f>
        <v>368253.442298246</v>
      </c>
      <c r="L18" s="48" t="n">
        <f aca="false">L14</f>
        <v>368253.442298246</v>
      </c>
      <c r="M18" s="48" t="n">
        <f aca="false">M14</f>
        <v>368253.442298246</v>
      </c>
      <c r="N18" s="48" t="n">
        <f aca="false">N14</f>
        <v>368253.442298246</v>
      </c>
      <c r="O18" s="48" t="n">
        <f aca="false">O14</f>
        <v>368253.442298246</v>
      </c>
      <c r="P18" s="48" t="n">
        <f aca="false">P14</f>
        <v>368253.442298246</v>
      </c>
      <c r="Q18" s="48" t="n">
        <f aca="false">Q14</f>
        <v>368253.442298246</v>
      </c>
      <c r="R18" s="48" t="n">
        <f aca="false">R14</f>
        <v>368253.442298246</v>
      </c>
      <c r="S18" s="48" t="n">
        <f aca="false">S14</f>
        <v>368253.442298246</v>
      </c>
      <c r="T18" s="48" t="n">
        <f aca="false">T14</f>
        <v>368253.442298246</v>
      </c>
    </row>
    <row r="19" customFormat="false" ht="15" hidden="false" customHeight="false" outlineLevel="0" collapsed="false">
      <c r="A19" s="3" t="s">
        <v>117</v>
      </c>
    </row>
    <row r="20" customFormat="false" ht="15" hidden="false" customHeight="false" outlineLevel="0" collapsed="false">
      <c r="A20" s="12" t="s">
        <v>118</v>
      </c>
      <c r="H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180324.303951128</v>
      </c>
      <c r="I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186969.882049621</v>
      </c>
      <c r="J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191157.343852227</v>
      </c>
      <c r="K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196760.576402075</v>
      </c>
      <c r="L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200340.410093255</v>
      </c>
      <c r="M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199505.211011108</v>
      </c>
      <c r="N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198802.30424894</v>
      </c>
      <c r="O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198802.30424894</v>
      </c>
      <c r="P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198802.30424894</v>
      </c>
      <c r="Q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198802.30424894</v>
      </c>
      <c r="R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198802.30424894</v>
      </c>
      <c r="S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198802.30424894</v>
      </c>
      <c r="T20" s="48" t="n">
        <f aca="false">Data!$D$42*INDEX($B$15:$T$15,COLUMN()-1-Data!$E$42)+Data!$D$43*INDEX($B$15:$T$15,COLUMN()-1-Data!$E$43)+Data!$D$44*INDEX($B$15:$T$15,COLUMN()-1-Data!$E$44)+Data!$D$45*INDEX($B$15:$T$15,COLUMN()-1-Data!$E$45)+Data!$D$46*INDEX($B$15:$T$15,COLUMN()-1-Data!$E$46)</f>
        <v>198802.30424894</v>
      </c>
    </row>
    <row r="21" customFormat="false" ht="15" hidden="false" customHeight="false" outlineLevel="0" collapsed="false">
      <c r="A21" s="12" t="s">
        <v>119</v>
      </c>
      <c r="H21" s="48" t="n">
        <f aca="false">IF(ISODD(H$12),labor_pct*(F14+G14),0)</f>
        <v>143502.9986</v>
      </c>
      <c r="I21" s="48" t="n">
        <f aca="false">IF(ISODD(I$12),labor_pct*(G14+H14),0)</f>
        <v>0</v>
      </c>
      <c r="J21" s="48" t="n">
        <f aca="false">IF(ISODD(J$12),labor_pct*(H14+I14),0)</f>
        <v>139936.308073333</v>
      </c>
      <c r="K21" s="48" t="n">
        <f aca="false">IF(ISODD(K$12),labor_pct*(I14+J14),0)</f>
        <v>0</v>
      </c>
      <c r="L21" s="48" t="n">
        <f aca="false">IF(ISODD(L$12),labor_pct*(J14+K14),0)</f>
        <v>139936.308073333</v>
      </c>
      <c r="M21" s="48" t="n">
        <f aca="false">IF(ISODD(M$12),labor_pct*(K14+L14),0)</f>
        <v>0</v>
      </c>
      <c r="N21" s="48" t="n">
        <f aca="false">IF(ISODD(N$12),labor_pct*(L14+M14),0)</f>
        <v>139936.308073333</v>
      </c>
      <c r="O21" s="48" t="n">
        <f aca="false">IF(ISODD(O$12),labor_pct*(M14+N14),0)</f>
        <v>0</v>
      </c>
      <c r="P21" s="48" t="n">
        <f aca="false">IF(ISODD(P$12),labor_pct*(N14+O14),0)</f>
        <v>139936.308073333</v>
      </c>
      <c r="Q21" s="48" t="n">
        <f aca="false">IF(ISODD(Q$12),labor_pct*(O14+P14),0)</f>
        <v>0</v>
      </c>
      <c r="R21" s="48" t="n">
        <f aca="false">IF(ISODD(R$12),labor_pct*(P14+Q14),0)</f>
        <v>139936.308073333</v>
      </c>
      <c r="S21" s="48" t="n">
        <f aca="false">IF(ISODD(S$12),labor_pct*(Q14+R14),0)</f>
        <v>0</v>
      </c>
      <c r="T21" s="48" t="n">
        <f aca="false">IF(ISODD(T$12),labor_pct*(R14+S14),0)</f>
        <v>139936.308073333</v>
      </c>
    </row>
    <row r="22" customFormat="false" ht="15" hidden="false" customHeight="false" outlineLevel="0" collapsed="false">
      <c r="A22" s="12" t="s">
        <v>120</v>
      </c>
      <c r="H22" s="48" t="n">
        <f aca="false">IF(DAY(H$13+6)&lt;=7,(sqft_s1+sqft_s2+sqft_s3)*rent_psf/12,0)</f>
        <v>135000</v>
      </c>
      <c r="I22" s="48" t="n">
        <f aca="false">IF(DAY(I$13+6)&lt;=7,(sqft_s1+sqft_s2+sqft_s3)*rent_psf/12,0)</f>
        <v>0</v>
      </c>
      <c r="J22" s="48" t="n">
        <f aca="false">IF(DAY(J$13+6)&lt;=7,(sqft_s1+sqft_s2+sqft_s3)*rent_psf/12,0)</f>
        <v>0</v>
      </c>
      <c r="K22" s="48" t="n">
        <f aca="false">IF(DAY(K$13+6)&lt;=7,(sqft_s1+sqft_s2+sqft_s3)*rent_psf/12,0)</f>
        <v>0</v>
      </c>
      <c r="L22" s="48" t="n">
        <f aca="false">IF(DAY(L$13+6)&lt;=7,(sqft_s1+sqft_s2+sqft_s3)*rent_psf/12,0)</f>
        <v>135000</v>
      </c>
      <c r="M22" s="48" t="n">
        <f aca="false">IF(DAY(M$13+6)&lt;=7,(sqft_s1+sqft_s2+sqft_s3)*rent_psf/12,0)</f>
        <v>0</v>
      </c>
      <c r="N22" s="48" t="n">
        <f aca="false">IF(DAY(N$13+6)&lt;=7,(sqft_s1+sqft_s2+sqft_s3)*rent_psf/12,0)</f>
        <v>0</v>
      </c>
      <c r="O22" s="48" t="n">
        <f aca="false">IF(DAY(O$13+6)&lt;=7,(sqft_s1+sqft_s2+sqft_s3)*rent_psf/12,0)</f>
        <v>0</v>
      </c>
      <c r="P22" s="48" t="n">
        <f aca="false">IF(DAY(P$13+6)&lt;=7,(sqft_s1+sqft_s2+sqft_s3)*rent_psf/12,0)</f>
        <v>0</v>
      </c>
      <c r="Q22" s="48" t="n">
        <f aca="false">IF(DAY(Q$13+6)&lt;=7,(sqft_s1+sqft_s2+sqft_s3)*rent_psf/12,0)</f>
        <v>135000</v>
      </c>
      <c r="R22" s="48" t="n">
        <f aca="false">IF(DAY(R$13+6)&lt;=7,(sqft_s1+sqft_s2+sqft_s3)*rent_psf/12,0)</f>
        <v>0</v>
      </c>
      <c r="S22" s="48" t="n">
        <f aca="false">IF(DAY(S$13+6)&lt;=7,(sqft_s1+sqft_s2+sqft_s3)*rent_psf/12,0)</f>
        <v>0</v>
      </c>
      <c r="T22" s="48" t="n">
        <f aca="false">IF(DAY(T$13+6)&lt;=7,(sqft_s1+sqft_s2+sqft_s3)*rent_psf/12,0)</f>
        <v>0</v>
      </c>
    </row>
    <row r="23" customFormat="false" ht="15" hidden="false" customHeight="false" outlineLevel="0" collapsed="false">
      <c r="A23" s="12" t="s">
        <v>44</v>
      </c>
      <c r="H23" s="48" t="n">
        <f aca="false">other_pct*H14</f>
        <v>29460.2753838596</v>
      </c>
      <c r="I23" s="48" t="n">
        <f aca="false">other_pct*I14</f>
        <v>29460.2753838596</v>
      </c>
      <c r="J23" s="48" t="n">
        <f aca="false">other_pct*J14</f>
        <v>29460.2753838596</v>
      </c>
      <c r="K23" s="48" t="n">
        <f aca="false">other_pct*K14</f>
        <v>29460.2753838596</v>
      </c>
      <c r="L23" s="48" t="n">
        <f aca="false">other_pct*L14</f>
        <v>29460.2753838596</v>
      </c>
      <c r="M23" s="48" t="n">
        <f aca="false">other_pct*M14</f>
        <v>29460.2753838596</v>
      </c>
      <c r="N23" s="48" t="n">
        <f aca="false">other_pct*N14</f>
        <v>29460.2753838596</v>
      </c>
      <c r="O23" s="48" t="n">
        <f aca="false">other_pct*O14</f>
        <v>29460.2753838596</v>
      </c>
      <c r="P23" s="48" t="n">
        <f aca="false">other_pct*P14</f>
        <v>29460.2753838596</v>
      </c>
      <c r="Q23" s="48" t="n">
        <f aca="false">other_pct*Q14</f>
        <v>29460.2753838596</v>
      </c>
      <c r="R23" s="48" t="n">
        <f aca="false">other_pct*R14</f>
        <v>29460.2753838596</v>
      </c>
      <c r="S23" s="48" t="n">
        <f aca="false">other_pct*S14</f>
        <v>29460.2753838596</v>
      </c>
      <c r="T23" s="48" t="n">
        <f aca="false">other_pct*T14</f>
        <v>29460.2753838596</v>
      </c>
    </row>
    <row r="24" customFormat="false" ht="15" hidden="false" customHeight="false" outlineLevel="0" collapsed="false">
      <c r="A24" s="12" t="s">
        <v>121</v>
      </c>
      <c r="H24" s="48" t="n">
        <f aca="false">ho_pct*H14</f>
        <v>18412.6721149123</v>
      </c>
      <c r="I24" s="48" t="n">
        <f aca="false">ho_pct*I14</f>
        <v>18412.6721149123</v>
      </c>
      <c r="J24" s="48" t="n">
        <f aca="false">ho_pct*J14</f>
        <v>18412.6721149123</v>
      </c>
      <c r="K24" s="48" t="n">
        <f aca="false">ho_pct*K14</f>
        <v>18412.6721149123</v>
      </c>
      <c r="L24" s="48" t="n">
        <f aca="false">ho_pct*L14</f>
        <v>18412.6721149123</v>
      </c>
      <c r="M24" s="48" t="n">
        <f aca="false">ho_pct*M14</f>
        <v>18412.6721149123</v>
      </c>
      <c r="N24" s="48" t="n">
        <f aca="false">ho_pct*N14</f>
        <v>18412.6721149123</v>
      </c>
      <c r="O24" s="48" t="n">
        <f aca="false">ho_pct*O14</f>
        <v>18412.6721149123</v>
      </c>
      <c r="P24" s="48" t="n">
        <f aca="false">ho_pct*P14</f>
        <v>18412.6721149123</v>
      </c>
      <c r="Q24" s="48" t="n">
        <f aca="false">ho_pct*Q14</f>
        <v>18412.6721149123</v>
      </c>
      <c r="R24" s="48" t="n">
        <f aca="false">ho_pct*R14</f>
        <v>18412.6721149123</v>
      </c>
      <c r="S24" s="48" t="n">
        <f aca="false">ho_pct*S14</f>
        <v>18412.6721149123</v>
      </c>
      <c r="T24" s="48" t="n">
        <f aca="false">ho_pct*T14</f>
        <v>18412.6721149123</v>
      </c>
    </row>
    <row r="25" customFormat="false" ht="15" hidden="false" customHeight="false" outlineLevel="0" collapsed="false">
      <c r="A25" s="43" t="s">
        <v>122</v>
      </c>
      <c r="B25" s="54"/>
      <c r="C25" s="54"/>
      <c r="D25" s="54"/>
      <c r="E25" s="54"/>
      <c r="F25" s="54"/>
      <c r="G25" s="54"/>
      <c r="H25" s="55" t="n">
        <f aca="false">H18-SUM(H20:H24)</f>
        <v>-138446.807751655</v>
      </c>
      <c r="I25" s="55" t="n">
        <f aca="false">I18-SUM(I20:I24)</f>
        <v>133410.612749853</v>
      </c>
      <c r="J25" s="55" t="n">
        <f aca="false">J18-SUM(J20:J24)</f>
        <v>-10713.1571260871</v>
      </c>
      <c r="K25" s="55" t="n">
        <f aca="false">K18-SUM(K20:K24)</f>
        <v>123619.918397399</v>
      </c>
      <c r="L25" s="55" t="n">
        <f aca="false">L18-SUM(L20:L24)</f>
        <v>-154896.223367115</v>
      </c>
      <c r="M25" s="55" t="n">
        <f aca="false">M18-SUM(M20:M24)</f>
        <v>120875.283788366</v>
      </c>
      <c r="N25" s="55" t="n">
        <f aca="false">N18-SUM(N20:N24)</f>
        <v>-18358.1175227994</v>
      </c>
      <c r="O25" s="55" t="n">
        <f aca="false">O18-SUM(O20:O24)</f>
        <v>121578.190550534</v>
      </c>
      <c r="P25" s="55" t="n">
        <f aca="false">P18-SUM(P20:P24)</f>
        <v>-18358.1175227994</v>
      </c>
      <c r="Q25" s="55" t="n">
        <f aca="false">Q18-SUM(Q20:Q24)</f>
        <v>-13421.8094494661</v>
      </c>
      <c r="R25" s="55" t="n">
        <f aca="false">R18-SUM(R20:R24)</f>
        <v>-18358.1175227994</v>
      </c>
      <c r="S25" s="55" t="n">
        <f aca="false">S18-SUM(S20:S24)</f>
        <v>121578.190550534</v>
      </c>
      <c r="T25" s="55" t="n">
        <f aca="false">T18-SUM(T20:T24)</f>
        <v>-18358.1175227994</v>
      </c>
    </row>
    <row r="26" customFormat="false" ht="15" hidden="false" customHeight="false" outlineLevel="0" collapsed="false">
      <c r="A26" s="12" t="s">
        <v>123</v>
      </c>
      <c r="H26" s="48" t="n">
        <f aca="false">IF(AND(build_start&gt;0,H$12&gt;=build_start,H$12&lt;build_start+build_weeks),ns_invest/build_weeks,0)</f>
        <v>0</v>
      </c>
      <c r="I26" s="48" t="n">
        <f aca="false">IF(AND(build_start&gt;0,I$12&gt;=build_start,I$12&lt;build_start+build_weeks),ns_invest/build_weeks,0)</f>
        <v>0</v>
      </c>
      <c r="J26" s="48" t="n">
        <f aca="false">IF(AND(build_start&gt;0,J$12&gt;=build_start,J$12&lt;build_start+build_weeks),ns_invest/build_weeks,0)</f>
        <v>0</v>
      </c>
      <c r="K26" s="48" t="n">
        <f aca="false">IF(AND(build_start&gt;0,K$12&gt;=build_start,K$12&lt;build_start+build_weeks),ns_invest/build_weeks,0)</f>
        <v>0</v>
      </c>
      <c r="L26" s="48" t="n">
        <f aca="false">IF(AND(build_start&gt;0,L$12&gt;=build_start,L$12&lt;build_start+build_weeks),ns_invest/build_weeks,0)</f>
        <v>235000</v>
      </c>
      <c r="M26" s="48" t="n">
        <f aca="false">IF(AND(build_start&gt;0,M$12&gt;=build_start,M$12&lt;build_start+build_weeks),ns_invest/build_weeks,0)</f>
        <v>235000</v>
      </c>
      <c r="N26" s="48" t="n">
        <f aca="false">IF(AND(build_start&gt;0,N$12&gt;=build_start,N$12&lt;build_start+build_weeks),ns_invest/build_weeks,0)</f>
        <v>235000</v>
      </c>
      <c r="O26" s="48" t="n">
        <f aca="false">IF(AND(build_start&gt;0,O$12&gt;=build_start,O$12&lt;build_start+build_weeks),ns_invest/build_weeks,0)</f>
        <v>235000</v>
      </c>
      <c r="P26" s="48" t="n">
        <f aca="false">IF(AND(build_start&gt;0,P$12&gt;=build_start,P$12&lt;build_start+build_weeks),ns_invest/build_weeks,0)</f>
        <v>235000</v>
      </c>
      <c r="Q26" s="48" t="n">
        <f aca="false">IF(AND(build_start&gt;0,Q$12&gt;=build_start,Q$12&lt;build_start+build_weeks),ns_invest/build_weeks,0)</f>
        <v>235000</v>
      </c>
      <c r="R26" s="48" t="n">
        <f aca="false">IF(AND(build_start&gt;0,R$12&gt;=build_start,R$12&lt;build_start+build_weeks),ns_invest/build_weeks,0)</f>
        <v>235000</v>
      </c>
      <c r="S26" s="48" t="n">
        <f aca="false">IF(AND(build_start&gt;0,S$12&gt;=build_start,S$12&lt;build_start+build_weeks),ns_invest/build_weeks,0)</f>
        <v>235000</v>
      </c>
      <c r="T26" s="48" t="n">
        <f aca="false">IF(AND(build_start&gt;0,T$12&gt;=build_start,T$12&lt;build_start+build_weeks),ns_invest/build_weeks,0)</f>
        <v>235000</v>
      </c>
    </row>
    <row r="27" customFormat="false" ht="15" hidden="false" customHeight="false" outlineLevel="0" collapsed="false">
      <c r="A27" s="12" t="s">
        <v>124</v>
      </c>
      <c r="H27" s="48" t="n">
        <f aca="false">H25-H26</f>
        <v>-138446.807751655</v>
      </c>
      <c r="I27" s="48" t="n">
        <f aca="false">I25-I26</f>
        <v>133410.612749853</v>
      </c>
      <c r="J27" s="48" t="n">
        <f aca="false">J25-J26</f>
        <v>-10713.1571260871</v>
      </c>
      <c r="K27" s="48" t="n">
        <f aca="false">K25-K26</f>
        <v>123619.918397399</v>
      </c>
      <c r="L27" s="48" t="n">
        <f aca="false">L25-L26</f>
        <v>-389896.223367115</v>
      </c>
      <c r="M27" s="48" t="n">
        <f aca="false">M25-M26</f>
        <v>-114124.716211634</v>
      </c>
      <c r="N27" s="48" t="n">
        <f aca="false">N25-N26</f>
        <v>-253358.117522799</v>
      </c>
      <c r="O27" s="48" t="n">
        <f aca="false">O25-O26</f>
        <v>-113421.809449466</v>
      </c>
      <c r="P27" s="48" t="n">
        <f aca="false">P25-P26</f>
        <v>-253358.117522799</v>
      </c>
      <c r="Q27" s="48" t="n">
        <f aca="false">Q25-Q26</f>
        <v>-248421.809449466</v>
      </c>
      <c r="R27" s="48" t="n">
        <f aca="false">R25-R26</f>
        <v>-253358.117522799</v>
      </c>
      <c r="S27" s="48" t="n">
        <f aca="false">S25-S26</f>
        <v>-113421.809449466</v>
      </c>
      <c r="T27" s="48" t="n">
        <f aca="false">T25-T26</f>
        <v>-253358.117522799</v>
      </c>
    </row>
    <row r="28" customFormat="false" ht="15" hidden="false" customHeight="false" outlineLevel="0" collapsed="false">
      <c r="A28" s="43" t="s">
        <v>125</v>
      </c>
      <c r="B28" s="54"/>
      <c r="C28" s="54"/>
      <c r="D28" s="54"/>
      <c r="E28" s="54"/>
      <c r="F28" s="54"/>
      <c r="G28" s="54"/>
      <c r="H28" s="55" t="n">
        <f aca="false">cash_open+H27</f>
        <v>611553.192248345</v>
      </c>
      <c r="I28" s="55" t="n">
        <f aca="false">H28+I27</f>
        <v>744963.804998198</v>
      </c>
      <c r="J28" s="55" t="n">
        <f aca="false">I28+J27</f>
        <v>734250.647872111</v>
      </c>
      <c r="K28" s="55" t="n">
        <f aca="false">J28+K27</f>
        <v>857870.56626951</v>
      </c>
      <c r="L28" s="55" t="n">
        <f aca="false">K28+L27</f>
        <v>467974.342902395</v>
      </c>
      <c r="M28" s="55" t="n">
        <f aca="false">L28+M27</f>
        <v>353849.626690761</v>
      </c>
      <c r="N28" s="55" t="n">
        <f aca="false">M28+N27</f>
        <v>100491.509167962</v>
      </c>
      <c r="O28" s="55" t="n">
        <f aca="false">N28+O27</f>
        <v>-12930.3002815043</v>
      </c>
      <c r="P28" s="55" t="n">
        <f aca="false">O28+P27</f>
        <v>-266288.417804304</v>
      </c>
      <c r="Q28" s="55" t="n">
        <f aca="false">P28+Q27</f>
        <v>-514710.22725377</v>
      </c>
      <c r="R28" s="55" t="n">
        <f aca="false">Q28+R27</f>
        <v>-768068.344776569</v>
      </c>
      <c r="S28" s="55" t="n">
        <f aca="false">R28+S27</f>
        <v>-881490.154226035</v>
      </c>
      <c r="T28" s="55" t="n">
        <f aca="false">S28+T27</f>
        <v>-1134848.27174883</v>
      </c>
    </row>
    <row r="29" customFormat="false" ht="15" hidden="false" customHeight="false" outlineLevel="0" collapsed="false">
      <c r="A29" s="2" t="s">
        <v>126</v>
      </c>
      <c r="H29" s="64" t="n">
        <f aca="false">cash_cushion</f>
        <v>250000</v>
      </c>
      <c r="I29" s="64" t="n">
        <f aca="false">cash_cushion</f>
        <v>250000</v>
      </c>
      <c r="J29" s="64" t="n">
        <f aca="false">cash_cushion</f>
        <v>250000</v>
      </c>
      <c r="K29" s="64" t="n">
        <f aca="false">cash_cushion</f>
        <v>250000</v>
      </c>
      <c r="L29" s="64" t="n">
        <f aca="false">cash_cushion</f>
        <v>250000</v>
      </c>
      <c r="M29" s="64" t="n">
        <f aca="false">cash_cushion</f>
        <v>250000</v>
      </c>
      <c r="N29" s="64" t="n">
        <f aca="false">cash_cushion</f>
        <v>250000</v>
      </c>
      <c r="O29" s="64" t="n">
        <f aca="false">cash_cushion</f>
        <v>250000</v>
      </c>
      <c r="P29" s="64" t="n">
        <f aca="false">cash_cushion</f>
        <v>250000</v>
      </c>
      <c r="Q29" s="64" t="n">
        <f aca="false">cash_cushion</f>
        <v>250000</v>
      </c>
      <c r="R29" s="64" t="n">
        <f aca="false">cash_cushion</f>
        <v>250000</v>
      </c>
      <c r="S29" s="64" t="n">
        <f aca="false">cash_cushion</f>
        <v>250000</v>
      </c>
      <c r="T29" s="64" t="n">
        <f aca="false">cash_cushion</f>
        <v>250000</v>
      </c>
    </row>
    <row r="30" customFormat="false" ht="15" hidden="false" customHeight="false" outlineLevel="0" collapsed="false">
      <c r="A30" s="12" t="s">
        <v>127</v>
      </c>
      <c r="H30" s="65" t="str">
        <f aca="false">IF(H28&lt;cash_cushion,"below","")</f>
        <v/>
      </c>
      <c r="I30" s="65" t="str">
        <f aca="false">IF(I28&lt;cash_cushion,"below","")</f>
        <v/>
      </c>
      <c r="J30" s="65" t="str">
        <f aca="false">IF(J28&lt;cash_cushion,"below","")</f>
        <v/>
      </c>
      <c r="K30" s="65" t="str">
        <f aca="false">IF(K28&lt;cash_cushion,"below","")</f>
        <v/>
      </c>
      <c r="L30" s="65" t="str">
        <f aca="false">IF(L28&lt;cash_cushion,"below","")</f>
        <v/>
      </c>
      <c r="M30" s="65" t="str">
        <f aca="false">IF(M28&lt;cash_cushion,"below","")</f>
        <v/>
      </c>
      <c r="N30" s="65" t="str">
        <f aca="false">IF(N28&lt;cash_cushion,"below","")</f>
        <v>below</v>
      </c>
      <c r="O30" s="65" t="str">
        <f aca="false">IF(O28&lt;cash_cushion,"below","")</f>
        <v>below</v>
      </c>
      <c r="P30" s="65" t="str">
        <f aca="false">IF(P28&lt;cash_cushion,"below","")</f>
        <v>below</v>
      </c>
      <c r="Q30" s="65" t="str">
        <f aca="false">IF(Q28&lt;cash_cushion,"below","")</f>
        <v>below</v>
      </c>
      <c r="R30" s="65" t="str">
        <f aca="false">IF(R28&lt;cash_cushion,"below","")</f>
        <v>below</v>
      </c>
      <c r="S30" s="65" t="str">
        <f aca="false">IF(S28&lt;cash_cushion,"below","")</f>
        <v>below</v>
      </c>
      <c r="T30" s="65" t="str">
        <f aca="false">IF(T28&lt;cash_cushion,"below","")</f>
        <v>below</v>
      </c>
    </row>
    <row r="32" customFormat="false" ht="15" hidden="false" customHeight="false" outlineLevel="0" collapsed="false">
      <c r="A32" s="2" t="s">
        <v>128</v>
      </c>
    </row>
  </sheetData>
  <conditionalFormatting sqref="H30:T30">
    <cfRule type="cellIs" priority="2" operator="equal" aboveAverage="0" equalAverage="0" bottom="0" percent="0" rank="0" text="" dxfId="1">
      <formula>"below"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45A"/>
    <pageSetUpPr fitToPage="tru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4"/>
    <col collapsed="false" customWidth="true" hidden="false" outlineLevel="0" max="5" min="4" style="0" width="12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34"/>
    <col collapsed="false" customWidth="true" hidden="false" outlineLevel="0" max="10" min="9" style="0" width="13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4" customFormat="false" ht="15" hidden="false" customHeight="false" outlineLevel="0" collapsed="false">
      <c r="A4" s="10" t="s">
        <v>106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customFormat="false" ht="15" hidden="false" customHeight="false" outlineLevel="0" collapsed="false">
      <c r="A5" s="12" t="s">
        <v>131</v>
      </c>
      <c r="B5" s="24" t="n">
        <f aca="false">B19</f>
        <v>446914.72</v>
      </c>
    </row>
    <row r="6" customFormat="false" ht="15" hidden="false" customHeight="false" outlineLevel="0" collapsed="false">
      <c r="A6" s="12" t="s">
        <v>132</v>
      </c>
      <c r="B6" s="66" t="n">
        <f aca="false">D19</f>
        <v>23.8097685064196</v>
      </c>
    </row>
    <row r="7" customFormat="false" ht="15" hidden="false" customHeight="false" outlineLevel="0" collapsed="false">
      <c r="A7" s="12" t="s">
        <v>133</v>
      </c>
      <c r="B7" s="24" t="n">
        <f aca="false">I19</f>
        <v>165260.11</v>
      </c>
    </row>
    <row r="8" customFormat="false" ht="15" hidden="false" customHeight="false" outlineLevel="0" collapsed="false">
      <c r="A8" s="12" t="s">
        <v>134</v>
      </c>
      <c r="B8" s="19" t="n">
        <f aca="false">J19</f>
        <v>0.369779966074959</v>
      </c>
    </row>
    <row r="9" customFormat="false" ht="15" hidden="false" customHeight="false" outlineLevel="0" collapsed="false">
      <c r="A9" s="10" t="s">
        <v>135</v>
      </c>
      <c r="B9" s="11"/>
      <c r="C9" s="11"/>
      <c r="D9" s="11"/>
      <c r="E9" s="11"/>
      <c r="F9" s="11"/>
      <c r="G9" s="11"/>
      <c r="H9" s="11"/>
      <c r="I9" s="11"/>
      <c r="J9" s="11"/>
      <c r="K9" s="11"/>
    </row>
    <row r="10" customFormat="false" ht="42" hidden="false" customHeight="true" outlineLevel="0" collapsed="false">
      <c r="A10" s="16" t="s">
        <v>136</v>
      </c>
      <c r="B10" s="17" t="s">
        <v>137</v>
      </c>
      <c r="C10" s="17" t="s">
        <v>138</v>
      </c>
      <c r="D10" s="17" t="s">
        <v>132</v>
      </c>
      <c r="E10" s="17" t="s">
        <v>139</v>
      </c>
      <c r="F10" s="17" t="s">
        <v>140</v>
      </c>
      <c r="G10" s="17" t="s">
        <v>141</v>
      </c>
      <c r="H10" s="16" t="s">
        <v>142</v>
      </c>
      <c r="I10" s="17" t="s">
        <v>143</v>
      </c>
      <c r="J10" s="17" t="s">
        <v>144</v>
      </c>
      <c r="K10" s="17" t="s">
        <v>145</v>
      </c>
    </row>
    <row r="11" customFormat="false" ht="15" hidden="false" customHeight="false" outlineLevel="0" collapsed="false">
      <c r="A11" s="67" t="str">
        <f aca="false">Data!A15</f>
        <v>Produce</v>
      </c>
      <c r="B11" s="38" t="n">
        <f aca="false">Data!J15</f>
        <v>35430.64</v>
      </c>
      <c r="C11" s="38" t="n">
        <f aca="false">Data!C15</f>
        <v>86444.96</v>
      </c>
      <c r="D11" s="68" t="n">
        <f aca="false">IF(C11=0,0,B11/(C11/days_window))</f>
        <v>12.2959071298084</v>
      </c>
      <c r="E11" s="68" t="n">
        <f aca="false">IF(D11=0,0,365/D11)</f>
        <v>29.6846744324498</v>
      </c>
      <c r="F11" s="69" t="n">
        <f aca="false">IF(B11=0,0,(Data!B15-Data!C15)*365/days_window/B11)</f>
        <v>13.9672939391818</v>
      </c>
      <c r="G11" s="70" t="n">
        <f aca="false">Data!N15</f>
        <v>7</v>
      </c>
      <c r="H11" s="12" t="str">
        <f aca="false">IF(D11&gt;G11,"More stock than it can sell in time","OK")</f>
        <v>More stock than it can sell in time</v>
      </c>
      <c r="I11" s="38" t="n">
        <f aca="false">Data!K15</f>
        <v>1277.6</v>
      </c>
      <c r="J11" s="53" t="n">
        <f aca="false">IF(B11=0,0,I11/B11)</f>
        <v>0.0360591849314605</v>
      </c>
      <c r="K11" s="35" t="n">
        <f aca="false">Data!M15</f>
        <v>30</v>
      </c>
    </row>
    <row r="12" customFormat="false" ht="15" hidden="false" customHeight="false" outlineLevel="0" collapsed="false">
      <c r="A12" s="67" t="str">
        <f aca="false">Data!A16</f>
        <v>Meat &amp; Seafood</v>
      </c>
      <c r="B12" s="38" t="n">
        <f aca="false">Data!J16</f>
        <v>75957.56</v>
      </c>
      <c r="C12" s="38" t="n">
        <f aca="false">Data!C16</f>
        <v>125124.29</v>
      </c>
      <c r="D12" s="68" t="n">
        <f aca="false">IF(C12=0,0,B12/(C12/days_window))</f>
        <v>18.2117061363545</v>
      </c>
      <c r="E12" s="68" t="n">
        <f aca="false">IF(D12=0,0,365/D12)</f>
        <v>20.0420541198708</v>
      </c>
      <c r="F12" s="69" t="n">
        <f aca="false">IF(B12=0,0,(Data!B16-Data!C16)*365/days_window/B12)</f>
        <v>6.35729875560335</v>
      </c>
      <c r="G12" s="70" t="n">
        <f aca="false">Data!N16</f>
        <v>5</v>
      </c>
      <c r="H12" s="12" t="str">
        <f aca="false">IF(D12&gt;G12,"More stock than it can sell in time","OK")</f>
        <v>More stock than it can sell in time</v>
      </c>
      <c r="I12" s="38" t="n">
        <f aca="false">Data!K16</f>
        <v>17453.14</v>
      </c>
      <c r="J12" s="53" t="n">
        <f aca="false">IF(B12=0,0,I12/B12)</f>
        <v>0.229774890083357</v>
      </c>
      <c r="K12" s="35" t="n">
        <f aca="false">Data!M16</f>
        <v>14</v>
      </c>
    </row>
    <row r="13" customFormat="false" ht="15" hidden="false" customHeight="false" outlineLevel="0" collapsed="false">
      <c r="A13" s="67" t="str">
        <f aca="false">Data!A17</f>
        <v>Dairy &amp; Eggs</v>
      </c>
      <c r="B13" s="38" t="n">
        <f aca="false">Data!J17</f>
        <v>25236.69</v>
      </c>
      <c r="C13" s="38" t="n">
        <f aca="false">Data!C17</f>
        <v>48884.55</v>
      </c>
      <c r="D13" s="68" t="n">
        <f aca="false">IF(C13=0,0,B13/(C13/days_window))</f>
        <v>15.4875251996797</v>
      </c>
      <c r="E13" s="68" t="n">
        <f aca="false">IF(D13=0,0,365/D13)</f>
        <v>23.5673547125237</v>
      </c>
      <c r="F13" s="69" t="n">
        <f aca="false">IF(B13=0,0,(Data!B17-Data!C17)*365/days_window/B13)</f>
        <v>11.1340661816849</v>
      </c>
      <c r="G13" s="70" t="n">
        <f aca="false">Data!N17</f>
        <v>22.5</v>
      </c>
      <c r="H13" s="12" t="str">
        <f aca="false">IF(D13&gt;G13,"More stock than it can sell in time","OK")</f>
        <v>OK</v>
      </c>
      <c r="I13" s="38" t="n">
        <f aca="false">Data!K17</f>
        <v>2878.47</v>
      </c>
      <c r="J13" s="53" t="n">
        <f aca="false">IF(B13=0,0,I13/B13)</f>
        <v>0.114058935621114</v>
      </c>
      <c r="K13" s="35" t="n">
        <f aca="false">Data!M17</f>
        <v>13</v>
      </c>
    </row>
    <row r="14" customFormat="false" ht="15" hidden="false" customHeight="false" outlineLevel="0" collapsed="false">
      <c r="A14" s="67" t="str">
        <f aca="false">Data!A18</f>
        <v>Pantry</v>
      </c>
      <c r="B14" s="38" t="n">
        <f aca="false">Data!J18</f>
        <v>66704.81</v>
      </c>
      <c r="C14" s="38" t="n">
        <f aca="false">Data!C18</f>
        <v>86547.4</v>
      </c>
      <c r="D14" s="68" t="n">
        <f aca="false">IF(C14=0,0,B14/(C14/days_window))</f>
        <v>23.1219458932331</v>
      </c>
      <c r="E14" s="68" t="n">
        <f aca="false">IF(D14=0,0,365/D14)</f>
        <v>15.7858686152718</v>
      </c>
      <c r="F14" s="69" t="n">
        <f aca="false">IF(B14=0,0,(Data!B18-Data!C18)*365/days_window/B14)</f>
        <v>10.0696293115894</v>
      </c>
      <c r="G14" s="70" t="n">
        <f aca="false">Data!N18</f>
        <v>443.9</v>
      </c>
      <c r="H14" s="12" t="str">
        <f aca="false">IF(D14&gt;G14,"More stock than it can sell in time","OK")</f>
        <v>OK</v>
      </c>
      <c r="I14" s="38" t="n">
        <f aca="false">Data!K18</f>
        <v>20245.23</v>
      </c>
      <c r="J14" s="53" t="n">
        <f aca="false">IF(B14=0,0,I14/B14)</f>
        <v>0.303504799728835</v>
      </c>
      <c r="K14" s="35" t="n">
        <f aca="false">Data!M18</f>
        <v>31</v>
      </c>
    </row>
    <row r="15" customFormat="false" ht="15" hidden="false" customHeight="false" outlineLevel="0" collapsed="false">
      <c r="A15" s="67" t="str">
        <f aca="false">Data!A19</f>
        <v>Snacks</v>
      </c>
      <c r="B15" s="38" t="n">
        <f aca="false">Data!J19</f>
        <v>24650.48</v>
      </c>
      <c r="C15" s="38" t="n">
        <f aca="false">Data!C19</f>
        <v>39513.74</v>
      </c>
      <c r="D15" s="68" t="n">
        <f aca="false">IF(C15=0,0,B15/(C15/days_window))</f>
        <v>18.7153734371892</v>
      </c>
      <c r="E15" s="68" t="n">
        <f aca="false">IF(D15=0,0,365/D15)</f>
        <v>19.5026832472769</v>
      </c>
      <c r="F15" s="69" t="n">
        <f aca="false">IF(B15=0,0,(Data!B19-Data!C19)*365/days_window/B15)</f>
        <v>13.7831286314371</v>
      </c>
      <c r="G15" s="70" t="n">
        <f aca="false">Data!N19</f>
        <v>228.6</v>
      </c>
      <c r="H15" s="12" t="str">
        <f aca="false">IF(D15&gt;G15,"More stock than it can sell in time","OK")</f>
        <v>OK</v>
      </c>
      <c r="I15" s="38" t="n">
        <f aca="false">Data!K19</f>
        <v>4624.19</v>
      </c>
      <c r="J15" s="53" t="n">
        <f aca="false">IF(B15=0,0,I15/B15)</f>
        <v>0.187590261934048</v>
      </c>
      <c r="K15" s="35" t="n">
        <f aca="false">Data!M19</f>
        <v>25</v>
      </c>
    </row>
    <row r="16" customFormat="false" ht="15" hidden="false" customHeight="false" outlineLevel="0" collapsed="false">
      <c r="A16" s="67" t="str">
        <f aca="false">Data!A20</f>
        <v>Beverages &amp; Juices</v>
      </c>
      <c r="B16" s="38" t="n">
        <f aca="false">Data!J20</f>
        <v>36045.4</v>
      </c>
      <c r="C16" s="38" t="n">
        <f aca="false">Data!C20</f>
        <v>71061.85</v>
      </c>
      <c r="D16" s="68" t="n">
        <f aca="false">IF(C16=0,0,B16/(C16/days_window))</f>
        <v>15.2171945987896</v>
      </c>
      <c r="E16" s="68" t="n">
        <f aca="false">IF(D16=0,0,365/D16)</f>
        <v>23.9860243378258</v>
      </c>
      <c r="F16" s="69" t="n">
        <f aca="false">IF(B16=0,0,(Data!B20-Data!C20)*365/days_window/B16)</f>
        <v>20.1743034709931</v>
      </c>
      <c r="G16" s="70" t="n">
        <f aca="false">Data!N20</f>
        <v>3</v>
      </c>
      <c r="H16" s="12" t="str">
        <f aca="false">IF(D16&gt;G16,"More stock than it can sell in time","OK")</f>
        <v>More stock than it can sell in time</v>
      </c>
      <c r="I16" s="38" t="n">
        <f aca="false">Data!K20</f>
        <v>3583.23</v>
      </c>
      <c r="J16" s="53" t="n">
        <f aca="false">IF(B16=0,0,I16/B16)</f>
        <v>0.0994088011230282</v>
      </c>
      <c r="K16" s="35" t="n">
        <f aca="false">Data!M20</f>
        <v>15</v>
      </c>
    </row>
    <row r="17" customFormat="false" ht="15" hidden="false" customHeight="false" outlineLevel="0" collapsed="false">
      <c r="A17" s="67" t="str">
        <f aca="false">Data!A22</f>
        <v>Supplements</v>
      </c>
      <c r="B17" s="38" t="n">
        <f aca="false">Data!J22</f>
        <v>115644.69</v>
      </c>
      <c r="C17" s="38" t="n">
        <f aca="false">Data!C22</f>
        <v>74268.65</v>
      </c>
      <c r="D17" s="68" t="n">
        <f aca="false">IF(C17=0,0,B17/(C17/days_window))</f>
        <v>46.7133938748045</v>
      </c>
      <c r="E17" s="68" t="n">
        <f aca="false">IF(D17=0,0,365/D17)</f>
        <v>7.81360482987445</v>
      </c>
      <c r="F17" s="69" t="n">
        <f aca="false">IF(B17=0,0,(Data!B22-Data!C22)*365/days_window/B17)</f>
        <v>7.49733482502886</v>
      </c>
      <c r="G17" s="70" t="n">
        <f aca="false">Data!N22</f>
        <v>541.6</v>
      </c>
      <c r="H17" s="12" t="str">
        <f aca="false">IF(D17&gt;G17,"More stock than it can sell in time","OK")</f>
        <v>OK</v>
      </c>
      <c r="I17" s="38" t="n">
        <f aca="false">Data!K22</f>
        <v>68232.64</v>
      </c>
      <c r="J17" s="53" t="n">
        <f aca="false">IF(B17=0,0,I17/B17)</f>
        <v>0.590019654166568</v>
      </c>
      <c r="K17" s="35" t="n">
        <f aca="false">Data!M22</f>
        <v>13</v>
      </c>
    </row>
    <row r="18" customFormat="false" ht="15" hidden="false" customHeight="false" outlineLevel="0" collapsed="false">
      <c r="A18" s="67" t="str">
        <f aca="false">Data!A23</f>
        <v>Beauty &amp; Body</v>
      </c>
      <c r="B18" s="38" t="n">
        <f aca="false">Data!J23</f>
        <v>67244.45</v>
      </c>
      <c r="C18" s="38" t="n">
        <f aca="false">Data!C23</f>
        <v>31261.32</v>
      </c>
      <c r="D18" s="68" t="n">
        <f aca="false">IF(C18=0,0,B18/(C18/days_window))</f>
        <v>64.5312961832706</v>
      </c>
      <c r="E18" s="68" t="n">
        <f aca="false">IF(D18=0,0,365/D18)</f>
        <v>5.65617028617232</v>
      </c>
      <c r="F18" s="69" t="n">
        <f aca="false">IF(B18=0,0,(Data!B23-Data!C23)*365/days_window/B18)</f>
        <v>7.17309616877924</v>
      </c>
      <c r="G18" s="70" t="n">
        <f aca="false">Data!N23</f>
        <v>743.6</v>
      </c>
      <c r="H18" s="12" t="str">
        <f aca="false">IF(D18&gt;G18,"More stock than it can sell in time","OK")</f>
        <v>OK</v>
      </c>
      <c r="I18" s="38" t="n">
        <f aca="false">Data!K23</f>
        <v>46965.61</v>
      </c>
      <c r="J18" s="53" t="n">
        <f aca="false">IF(B18=0,0,I18/B18)</f>
        <v>0.698431022932004</v>
      </c>
      <c r="K18" s="35" t="n">
        <f aca="false">Data!M23</f>
        <v>14</v>
      </c>
    </row>
    <row r="19" customFormat="false" ht="15" hidden="false" customHeight="false" outlineLevel="0" collapsed="false">
      <c r="A19" s="43" t="s">
        <v>146</v>
      </c>
      <c r="B19" s="44" t="n">
        <f aca="false">SUM(B11:B18)</f>
        <v>446914.72</v>
      </c>
      <c r="C19" s="44" t="n">
        <f aca="false">SUM(C11:C18)</f>
        <v>563106.76</v>
      </c>
      <c r="D19" s="71" t="n">
        <f aca="false">IF(C19=0,0,B19/(C19/days_window))</f>
        <v>23.8097685064196</v>
      </c>
      <c r="E19" s="71" t="n">
        <f aca="false">IF(D19=0,0,365/D19)</f>
        <v>15.3298424510758</v>
      </c>
      <c r="F19" s="54"/>
      <c r="G19" s="54"/>
      <c r="H19" s="54"/>
      <c r="I19" s="44" t="n">
        <f aca="false">SUM(I11:I18)</f>
        <v>165260.11</v>
      </c>
      <c r="J19" s="72" t="n">
        <f aca="false">IF(B19=0,0,I19/B19)</f>
        <v>0.369779966074959</v>
      </c>
      <c r="K19" s="73" t="n">
        <f aca="false">SUM(K11:K18)</f>
        <v>155</v>
      </c>
    </row>
    <row r="21" customFormat="false" ht="15" hidden="false" customHeight="false" outlineLevel="0" collapsed="false">
      <c r="A21" s="12" t="s">
        <v>147</v>
      </c>
      <c r="B21" s="3" t="str">
        <f aca="false">INDEX(A11:A18,MATCH(MAX(I11:I18),I11:I18,0))</f>
        <v>Supplements</v>
      </c>
    </row>
    <row r="23" customFormat="false" ht="15" hidden="false" customHeight="false" outlineLevel="0" collapsed="false">
      <c r="A23" s="2" t="s">
        <v>148</v>
      </c>
    </row>
  </sheetData>
  <conditionalFormatting sqref="H11:H18">
    <cfRule type="expression" priority="2" aboveAverage="0" equalAverage="0" bottom="0" percent="0" rank="0" text="" dxfId="1">
      <formula>LEFT(H11,4)="More"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45A"/>
    <pageSetUpPr fitToPage="tru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149</v>
      </c>
    </row>
    <row r="2" customFormat="false" ht="15" hidden="false" customHeight="false" outlineLevel="0" collapsed="false">
      <c r="A2" s="2" t="s">
        <v>150</v>
      </c>
    </row>
    <row r="4" customFormat="false" ht="15" hidden="false" customHeight="false" outlineLevel="0" collapsed="false">
      <c r="A4" s="3" t="s">
        <v>136</v>
      </c>
      <c r="B4" s="74" t="s">
        <v>151</v>
      </c>
      <c r="C4" s="74"/>
      <c r="D4" s="5" t="s">
        <v>152</v>
      </c>
    </row>
    <row r="6" customFormat="false" ht="15" hidden="false" customHeight="false" outlineLevel="0" collapsed="false">
      <c r="A6" s="10" t="s">
        <v>153</v>
      </c>
      <c r="B6" s="11"/>
      <c r="C6" s="11"/>
      <c r="D6" s="11"/>
      <c r="E6" s="11"/>
      <c r="F6" s="11"/>
    </row>
    <row r="7" customFormat="false" ht="15" hidden="false" customHeight="false" outlineLevel="0" collapsed="false">
      <c r="A7" s="12" t="s">
        <v>154</v>
      </c>
      <c r="B7" s="75" t="n">
        <f aca="false">INDEX(Data!$G$15:$G$23,MATCH(category,category_list,0))</f>
        <v>31.9777764842841</v>
      </c>
    </row>
    <row r="8" customFormat="false" ht="15" hidden="false" customHeight="false" outlineLevel="0" collapsed="false">
      <c r="A8" s="12" t="s">
        <v>155</v>
      </c>
      <c r="B8" s="75" t="n">
        <f aca="false">INDEX(Data!$H$15:$H$23,MATCH(category,category_list,0))</f>
        <v>24.2771226232053</v>
      </c>
    </row>
    <row r="9" customFormat="false" ht="15" hidden="false" customHeight="false" outlineLevel="0" collapsed="false">
      <c r="A9" s="12" t="s">
        <v>156</v>
      </c>
      <c r="B9" s="76" t="n">
        <f aca="false">INDEX(Data!$I$15:$I$23,MATCH(category,category_list,0))</f>
        <v>1202.6</v>
      </c>
    </row>
    <row r="10" customFormat="false" ht="15" hidden="false" customHeight="false" outlineLevel="0" collapsed="false">
      <c r="A10" s="12" t="s">
        <v>157</v>
      </c>
      <c r="B10" s="77" t="n">
        <f aca="false">IF(B7=0,0,(B7-B8)/B7)</f>
        <v>0.240812673916317</v>
      </c>
    </row>
    <row r="11" customFormat="false" ht="15" hidden="false" customHeight="false" outlineLevel="0" collapsed="false">
      <c r="A11" s="12" t="s">
        <v>158</v>
      </c>
      <c r="B11" s="78" t="n">
        <f aca="false">INDEX(Data!$F$15:$F$23,MATCH(category,category_list,0))</f>
        <v>0.28</v>
      </c>
      <c r="C11" s="5" t="s">
        <v>159</v>
      </c>
    </row>
    <row r="12" customFormat="false" ht="15" hidden="false" customHeight="false" outlineLevel="0" collapsed="false">
      <c r="A12" s="12" t="s">
        <v>160</v>
      </c>
      <c r="B12" s="79" t="n">
        <f aca="false">B10-B11</f>
        <v>-0.0391873260836828</v>
      </c>
    </row>
    <row r="13" customFormat="false" ht="15" hidden="false" customHeight="false" outlineLevel="0" collapsed="false">
      <c r="A13" s="12" t="s">
        <v>153</v>
      </c>
      <c r="B13" s="80" t="n">
        <v>0.03</v>
      </c>
    </row>
    <row r="14" customFormat="false" ht="15" hidden="false" customHeight="false" outlineLevel="0" collapsed="false">
      <c r="A14" s="12" t="s">
        <v>161</v>
      </c>
      <c r="B14" s="81" t="n">
        <v>-1.2</v>
      </c>
      <c r="C14" s="5" t="s">
        <v>162</v>
      </c>
    </row>
    <row r="15" customFormat="false" ht="15" hidden="false" customHeight="false" outlineLevel="0" collapsed="false">
      <c r="A15" s="12" t="s">
        <v>163</v>
      </c>
      <c r="B15" s="82" t="n">
        <f aca="false">B7*(1+B13)</f>
        <v>32.9371097788126</v>
      </c>
    </row>
    <row r="16" customFormat="false" ht="15" hidden="false" customHeight="false" outlineLevel="0" collapsed="false">
      <c r="A16" s="12" t="s">
        <v>164</v>
      </c>
      <c r="B16" s="83" t="n">
        <f aca="false">MAX(0,B9*(1+B14*B13))</f>
        <v>1159.3064</v>
      </c>
    </row>
    <row r="17" customFormat="false" ht="15" hidden="false" customHeight="false" outlineLevel="0" collapsed="false">
      <c r="A17" s="12" t="s">
        <v>165</v>
      </c>
      <c r="B17" s="84" t="n">
        <f aca="false">(B7-B8)*B9</f>
        <v>9260.80633333333</v>
      </c>
    </row>
    <row r="18" customFormat="false" ht="15" hidden="false" customHeight="false" outlineLevel="0" collapsed="false">
      <c r="A18" s="12" t="s">
        <v>166</v>
      </c>
      <c r="B18" s="84" t="n">
        <f aca="false">(B15-B8)*B16</f>
        <v>10039.5785334133</v>
      </c>
    </row>
    <row r="19" customFormat="false" ht="15" hidden="false" customHeight="false" outlineLevel="0" collapsed="false">
      <c r="A19" s="3" t="s">
        <v>167</v>
      </c>
      <c r="B19" s="40" t="n">
        <f aca="false">(B18-B17)*52</f>
        <v>40496.1544041599</v>
      </c>
    </row>
    <row r="20" customFormat="false" ht="15" hidden="false" customHeight="false" outlineLevel="0" collapsed="false">
      <c r="A20" s="12" t="s">
        <v>168</v>
      </c>
      <c r="B20" s="77" t="n">
        <f aca="false">IF(B15=0,0,(B15-B8)/B15)</f>
        <v>0.262924926132347</v>
      </c>
    </row>
    <row r="21" customFormat="false" ht="15" hidden="false" customHeight="false" outlineLevel="0" collapsed="false">
      <c r="A21" s="12" t="s">
        <v>169</v>
      </c>
      <c r="B21" s="79" t="n">
        <f aca="false">IF(B15-B8&lt;=0,"Below cost",(B7-B8)/(B15-B8)-1)</f>
        <v>-0.110777680993136</v>
      </c>
      <c r="C21" s="5" t="s">
        <v>170</v>
      </c>
    </row>
    <row r="23" customFormat="false" ht="15" hidden="false" customHeight="false" outlineLevel="0" collapsed="false">
      <c r="A23" s="3" t="s">
        <v>171</v>
      </c>
    </row>
    <row r="24" customFormat="false" ht="15" hidden="false" customHeight="false" outlineLevel="0" collapsed="false">
      <c r="B24" s="85" t="n">
        <v>-0.5</v>
      </c>
      <c r="C24" s="85" t="n">
        <v>-1</v>
      </c>
      <c r="D24" s="85" t="n">
        <v>-1.5</v>
      </c>
      <c r="E24" s="85" t="n">
        <v>-2</v>
      </c>
      <c r="F24" s="85" t="n">
        <v>-2.5</v>
      </c>
    </row>
    <row r="25" customFormat="false" ht="15" hidden="false" customHeight="false" outlineLevel="0" collapsed="false">
      <c r="A25" s="86" t="n">
        <v>-0.06</v>
      </c>
      <c r="B25" s="36" t="n">
        <f aca="false">(($B$7*(1+$A25)-$B$8)*MAX(0,$B$9*(1+B$24*$A25))-($B$7-$B$8)*$B$9)*52</f>
        <v>-109136.8669664</v>
      </c>
      <c r="C25" s="36" t="n">
        <f aca="false">(($B$7*(1+$A25)-$B$8)*MAX(0,$B$9*(1+C$24*$A25))-($B$7-$B$8)*$B$9)*52</f>
        <v>-98289.5350527999</v>
      </c>
      <c r="D25" s="36" t="n">
        <f aca="false">(($B$7*(1+$A25)-$B$8)*MAX(0,$B$9*(1+D$24*$A25))-($B$7-$B$8)*$B$9)*52</f>
        <v>-87442.2031392</v>
      </c>
      <c r="E25" s="36" t="n">
        <f aca="false">(($B$7*(1+$A25)-$B$8)*MAX(0,$B$9*(1+E$24*$A25))-($B$7-$B$8)*$B$9)*52</f>
        <v>-76594.8712256</v>
      </c>
      <c r="F25" s="36" t="n">
        <f aca="false">(($B$7*(1+$A25)-$B$8)*MAX(0,$B$9*(1+F$24*$A25))-($B$7-$B$8)*$B$9)*52</f>
        <v>-65747.5393120001</v>
      </c>
    </row>
    <row r="26" customFormat="false" ht="15" hidden="false" customHeight="false" outlineLevel="0" collapsed="false">
      <c r="A26" s="86" t="n">
        <v>-0.04</v>
      </c>
      <c r="B26" s="36" t="n">
        <f aca="false">(($B$7*(1+$A26)-$B$8)*MAX(0,$B$9*(1+B$24*$A26))-($B$7-$B$8)*$B$9)*52</f>
        <v>-71958.0166517333</v>
      </c>
      <c r="C26" s="36" t="n">
        <f aca="false">(($B$7*(1+$A26)-$B$8)*MAX(0,$B$9*(1+C$24*$A26))-($B$7-$B$8)*$B$9)*52</f>
        <v>-63926.5673834667</v>
      </c>
      <c r="D26" s="36" t="n">
        <f aca="false">(($B$7*(1+$A26)-$B$8)*MAX(0,$B$9*(1+D$24*$A26))-($B$7-$B$8)*$B$9)*52</f>
        <v>-55895.1181152</v>
      </c>
      <c r="E26" s="36" t="n">
        <f aca="false">(($B$7*(1+$A26)-$B$8)*MAX(0,$B$9*(1+E$24*$A26))-($B$7-$B$8)*$B$9)*52</f>
        <v>-47863.6688469334</v>
      </c>
      <c r="F26" s="36" t="n">
        <f aca="false">(($B$7*(1+$A26)-$B$8)*MAX(0,$B$9*(1+F$24*$A26))-($B$7-$B$8)*$B$9)*52</f>
        <v>-39832.2195786667</v>
      </c>
    </row>
    <row r="27" customFormat="false" ht="15" hidden="false" customHeight="false" outlineLevel="0" collapsed="false">
      <c r="A27" s="86" t="n">
        <v>-0.02</v>
      </c>
      <c r="B27" s="36" t="n">
        <f aca="false">(($B$7*(1+$A27)-$B$8)*MAX(0,$B$9*(1+B$24*$A27))-($B$7-$B$8)*$B$9)*52</f>
        <v>-35579.0609962666</v>
      </c>
      <c r="C27" s="36" t="n">
        <f aca="false">(($B$7*(1+$A27)-$B$8)*MAX(0,$B$9*(1+C$24*$A27))-($B$7-$B$8)*$B$9)*52</f>
        <v>-31163.3890325332</v>
      </c>
      <c r="D27" s="36" t="n">
        <f aca="false">(($B$7*(1+$A27)-$B$8)*MAX(0,$B$9*(1+D$24*$A27))-($B$7-$B$8)*$B$9)*52</f>
        <v>-26747.7170688</v>
      </c>
      <c r="E27" s="36" t="n">
        <f aca="false">(($B$7*(1+$A27)-$B$8)*MAX(0,$B$9*(1+E$24*$A27))-($B$7-$B$8)*$B$9)*52</f>
        <v>-22332.0451050666</v>
      </c>
      <c r="F27" s="36" t="n">
        <f aca="false">(($B$7*(1+$A27)-$B$8)*MAX(0,$B$9*(1+F$24*$A27))-($B$7-$B$8)*$B$9)*52</f>
        <v>-17916.3731413332</v>
      </c>
    </row>
    <row r="28" customFormat="false" ht="15" hidden="false" customHeight="false" outlineLevel="0" collapsed="false">
      <c r="A28" s="86" t="n">
        <v>0</v>
      </c>
      <c r="B28" s="36" t="n">
        <f aca="false">(($B$7*(1+$A28)-$B$8)*MAX(0,$B$9*(1+B$24*$A28))-($B$7-$B$8)*$B$9)*52</f>
        <v>0</v>
      </c>
      <c r="C28" s="36" t="n">
        <f aca="false">(($B$7*(1+$A28)-$B$8)*MAX(0,$B$9*(1+C$24*$A28))-($B$7-$B$8)*$B$9)*52</f>
        <v>0</v>
      </c>
      <c r="D28" s="36" t="n">
        <f aca="false">(($B$7*(1+$A28)-$B$8)*MAX(0,$B$9*(1+D$24*$A28))-($B$7-$B$8)*$B$9)*52</f>
        <v>0</v>
      </c>
      <c r="E28" s="36" t="n">
        <f aca="false">(($B$7*(1+$A28)-$B$8)*MAX(0,$B$9*(1+E$24*$A28))-($B$7-$B$8)*$B$9)*52</f>
        <v>0</v>
      </c>
      <c r="F28" s="36" t="n">
        <f aca="false">(($B$7*(1+$A28)-$B$8)*MAX(0,$B$9*(1+F$24*$A28))-($B$7-$B$8)*$B$9)*52</f>
        <v>0</v>
      </c>
    </row>
    <row r="29" customFormat="false" ht="15" hidden="false" customHeight="false" outlineLevel="0" collapsed="false">
      <c r="A29" s="86" t="n">
        <v>0.02</v>
      </c>
      <c r="B29" s="36" t="n">
        <f aca="false">(($B$7*(1+$A29)-$B$8)*MAX(0,$B$9*(1+B$24*$A29))-($B$7-$B$8)*$B$9)*52</f>
        <v>34779.1663370666</v>
      </c>
      <c r="C29" s="36" t="n">
        <f aca="false">(($B$7*(1+$A29)-$B$8)*MAX(0,$B$9*(1+C$24*$A29))-($B$7-$B$8)*$B$9)*52</f>
        <v>29563.5997141333</v>
      </c>
      <c r="D29" s="36" t="n">
        <f aca="false">(($B$7*(1+$A29)-$B$8)*MAX(0,$B$9*(1+D$24*$A29))-($B$7-$B$8)*$B$9)*52</f>
        <v>24348.0330912</v>
      </c>
      <c r="E29" s="36" t="n">
        <f aca="false">(($B$7*(1+$A29)-$B$8)*MAX(0,$B$9*(1+E$24*$A29))-($B$7-$B$8)*$B$9)*52</f>
        <v>19132.4664682666</v>
      </c>
      <c r="F29" s="36" t="n">
        <f aca="false">(($B$7*(1+$A29)-$B$8)*MAX(0,$B$9*(1+F$24*$A29))-($B$7-$B$8)*$B$9)*52</f>
        <v>13916.8998453332</v>
      </c>
    </row>
    <row r="30" customFormat="false" ht="15" hidden="false" customHeight="false" outlineLevel="0" collapsed="false">
      <c r="A30" s="86" t="n">
        <v>0.04</v>
      </c>
      <c r="B30" s="36" t="n">
        <f aca="false">(($B$7*(1+$A30)-$B$8)*MAX(0,$B$9*(1+B$24*$A30))-($B$7-$B$8)*$B$9)*52</f>
        <v>68758.4380149331</v>
      </c>
      <c r="C30" s="36" t="n">
        <f aca="false">(($B$7*(1+$A30)-$B$8)*MAX(0,$B$9*(1+C$24*$A30))-($B$7-$B$8)*$B$9)*52</f>
        <v>57527.4101098665</v>
      </c>
      <c r="D30" s="36" t="n">
        <f aca="false">(($B$7*(1+$A30)-$B$8)*MAX(0,$B$9*(1+D$24*$A30))-($B$7-$B$8)*$B$9)*52</f>
        <v>46296.3822047998</v>
      </c>
      <c r="E30" s="36" t="n">
        <f aca="false">(($B$7*(1+$A30)-$B$8)*MAX(0,$B$9*(1+E$24*$A30))-($B$7-$B$8)*$B$9)*52</f>
        <v>35065.3542997333</v>
      </c>
      <c r="F30" s="36" t="n">
        <f aca="false">(($B$7*(1+$A30)-$B$8)*MAX(0,$B$9*(1+F$24*$A30))-($B$7-$B$8)*$B$9)*52</f>
        <v>23834.3263946665</v>
      </c>
    </row>
    <row r="31" customFormat="false" ht="15" hidden="false" customHeight="false" outlineLevel="0" collapsed="false">
      <c r="A31" s="86" t="n">
        <v>0.06</v>
      </c>
      <c r="B31" s="36" t="n">
        <f aca="false">(($B$7*(1+$A31)-$B$8)*MAX(0,$B$9*(1+B$24*$A31))-($B$7-$B$8)*$B$9)*52</f>
        <v>101937.8150336</v>
      </c>
      <c r="C31" s="36" t="n">
        <f aca="false">(($B$7*(1+$A31)-$B$8)*MAX(0,$B$9*(1+C$24*$A31))-($B$7-$B$8)*$B$9)*52</f>
        <v>83891.4311872002</v>
      </c>
      <c r="D31" s="36" t="n">
        <f aca="false">(($B$7*(1+$A31)-$B$8)*MAX(0,$B$9*(1+D$24*$A31))-($B$7-$B$8)*$B$9)*52</f>
        <v>65845.0473408003</v>
      </c>
      <c r="E31" s="36" t="n">
        <f aca="false">(($B$7*(1+$A31)-$B$8)*MAX(0,$B$9*(1+E$24*$A31))-($B$7-$B$8)*$B$9)*52</f>
        <v>47798.6634944003</v>
      </c>
      <c r="F31" s="36" t="n">
        <f aca="false">(($B$7*(1+$A31)-$B$8)*MAX(0,$B$9*(1+F$24*$A31))-($B$7-$B$8)*$B$9)*52</f>
        <v>29752.2796480001</v>
      </c>
    </row>
    <row r="33" customFormat="false" ht="15" hidden="false" customHeight="false" outlineLevel="0" collapsed="false">
      <c r="A33" s="10" t="s">
        <v>172</v>
      </c>
      <c r="B33" s="11"/>
      <c r="C33" s="11"/>
      <c r="D33" s="11"/>
      <c r="E33" s="11"/>
      <c r="F33" s="11"/>
    </row>
    <row r="34" customFormat="false" ht="15" hidden="false" customHeight="false" outlineLevel="0" collapsed="false">
      <c r="A34" s="12" t="s">
        <v>173</v>
      </c>
      <c r="B34" s="87" t="n">
        <v>0.2</v>
      </c>
    </row>
    <row r="35" customFormat="false" ht="15" hidden="false" customHeight="false" outlineLevel="0" collapsed="false">
      <c r="A35" s="12" t="s">
        <v>174</v>
      </c>
      <c r="B35" s="88" t="n">
        <v>2</v>
      </c>
    </row>
    <row r="36" customFormat="false" ht="15" hidden="false" customHeight="false" outlineLevel="0" collapsed="false">
      <c r="A36" s="12" t="s">
        <v>175</v>
      </c>
      <c r="B36" s="87" t="n">
        <v>0.5</v>
      </c>
      <c r="C36" s="5" t="s">
        <v>176</v>
      </c>
    </row>
    <row r="37" customFormat="false" ht="15" hidden="false" customHeight="false" outlineLevel="0" collapsed="false">
      <c r="A37" s="12" t="s">
        <v>177</v>
      </c>
      <c r="B37" s="89" t="n">
        <v>0.5</v>
      </c>
    </row>
    <row r="38" customFormat="false" ht="15" hidden="false" customHeight="false" outlineLevel="0" collapsed="false">
      <c r="A38" s="12" t="s">
        <v>178</v>
      </c>
      <c r="B38" s="82" t="n">
        <f aca="false">B7*(1-B34)</f>
        <v>25.5822211874272</v>
      </c>
    </row>
    <row r="39" customFormat="false" ht="15" hidden="false" customHeight="false" outlineLevel="0" collapsed="false">
      <c r="A39" s="12" t="s">
        <v>179</v>
      </c>
      <c r="B39" s="82" t="n">
        <f aca="false">B38-B8+B7*B34*B37</f>
        <v>4.50287621265037</v>
      </c>
    </row>
    <row r="40" customFormat="false" ht="15" hidden="false" customHeight="false" outlineLevel="0" collapsed="false">
      <c r="A40" s="3" t="s">
        <v>180</v>
      </c>
      <c r="B40" s="40" t="n">
        <f aca="false">(B39*B9*(1+B36)-(B7-B8)*B9)*B35</f>
        <v>-2276.13586666667</v>
      </c>
    </row>
    <row r="41" customFormat="false" ht="15" hidden="false" customHeight="false" outlineLevel="0" collapsed="false">
      <c r="A41" s="12" t="s">
        <v>181</v>
      </c>
      <c r="B41" s="90" t="n">
        <f aca="false">IF(B39&lt;=0,"Sells below cost",(B7-B8)/B39-1)</f>
        <v>0.710163348360449</v>
      </c>
      <c r="C41" s="5" t="s">
        <v>182</v>
      </c>
    </row>
    <row r="42" customFormat="false" ht="15" hidden="false" customHeight="false" outlineLevel="0" collapsed="false">
      <c r="A42" s="12" t="s">
        <v>183</v>
      </c>
      <c r="B42" s="91" t="str">
        <f aca="false">IF(B34&gt;0.3,"Over the 30% cap: needs COO approval","Within the 30% cap")</f>
        <v>Within the 30% cap</v>
      </c>
    </row>
  </sheetData>
  <mergeCells count="1">
    <mergeCell ref="B4:C4"/>
  </mergeCells>
  <dataValidations count="1">
    <dataValidation allowBlank="false" errorStyle="stop" operator="between" showDropDown="false" showErrorMessage="false" showInputMessage="false" sqref="B4" type="list">
      <formula1>category_list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E9E"/>
    <pageSetUpPr fitToPage="true"/>
  </sheetPr>
  <dimension ref="A1:N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2" style="0" width="14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185</v>
      </c>
    </row>
    <row r="3" customFormat="false" ht="15" hidden="false" customHeight="false" outlineLevel="0" collapsed="false">
      <c r="A3" s="12" t="s">
        <v>186</v>
      </c>
      <c r="B3" s="23" t="n">
        <v>30</v>
      </c>
    </row>
    <row r="5" customFormat="false" ht="15" hidden="false" customHeight="false" outlineLevel="0" collapsed="false">
      <c r="A5" s="10" t="s">
        <v>187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</row>
    <row r="6" customFormat="false" ht="30" hidden="false" customHeight="true" outlineLevel="0" collapsed="false">
      <c r="A6" s="16" t="s">
        <v>188</v>
      </c>
      <c r="B6" s="17" t="s">
        <v>189</v>
      </c>
      <c r="C6" s="17" t="s">
        <v>190</v>
      </c>
      <c r="D6" s="17" t="s">
        <v>191</v>
      </c>
      <c r="E6" s="17" t="s">
        <v>192</v>
      </c>
      <c r="F6" s="17" t="s">
        <v>193</v>
      </c>
      <c r="G6" s="17" t="s">
        <v>194</v>
      </c>
      <c r="H6" s="17" t="s">
        <v>195</v>
      </c>
      <c r="I6" s="17" t="s">
        <v>196</v>
      </c>
      <c r="J6" s="17" t="s">
        <v>197</v>
      </c>
      <c r="K6" s="17" t="s">
        <v>198</v>
      </c>
      <c r="L6" s="17" t="s">
        <v>199</v>
      </c>
      <c r="M6" s="17" t="s">
        <v>137</v>
      </c>
    </row>
    <row r="7" customFormat="false" ht="15" hidden="false" customHeight="false" outlineLevel="0" collapsed="false">
      <c r="A7" s="12" t="s">
        <v>200</v>
      </c>
      <c r="B7" s="23" t="n">
        <v>30</v>
      </c>
      <c r="C7" s="25" t="n">
        <v>780557.2</v>
      </c>
      <c r="D7" s="25" t="n">
        <v>780557.2</v>
      </c>
      <c r="E7" s="25" t="n">
        <v>408581.18</v>
      </c>
      <c r="F7" s="45" t="n">
        <f aca="false">IF(C7=0,0,(C7-E7)/C7)</f>
        <v>0.476551904203817</v>
      </c>
      <c r="G7" s="23" t="n">
        <v>16626</v>
      </c>
      <c r="H7" s="69" t="n">
        <f aca="false">IF(G7=0,0,C7/G7)</f>
        <v>46.947985083604</v>
      </c>
      <c r="I7" s="25" t="n">
        <v>14536.36</v>
      </c>
      <c r="J7" s="45" t="n">
        <f aca="false">IF(C7=0,0,I7/C7)</f>
        <v>0.0186230554275843</v>
      </c>
      <c r="K7" s="36" t="n">
        <f aca="false">IF(B7=0,0,C7/B7)</f>
        <v>26018.5733333333</v>
      </c>
      <c r="L7" s="36" t="n">
        <f aca="false">K7*365</f>
        <v>9496779.26666667</v>
      </c>
      <c r="M7" s="25" t="n">
        <v>194335.82</v>
      </c>
    </row>
    <row r="8" customFormat="false" ht="15" hidden="false" customHeight="false" outlineLevel="0" collapsed="false">
      <c r="A8" s="12" t="s">
        <v>201</v>
      </c>
      <c r="B8" s="23" t="n">
        <v>30</v>
      </c>
      <c r="C8" s="25" t="n">
        <v>540799.27</v>
      </c>
      <c r="D8" s="25" t="n">
        <v>540799.27</v>
      </c>
      <c r="E8" s="25" t="n">
        <v>280733.65</v>
      </c>
      <c r="F8" s="45" t="n">
        <f aca="false">IF(C8=0,0,(C8-E8)/C8)</f>
        <v>0.480891218658635</v>
      </c>
      <c r="G8" s="23" t="n">
        <v>11914</v>
      </c>
      <c r="H8" s="69" t="n">
        <f aca="false">IF(G8=0,0,C8/G8)</f>
        <v>45.3919145543059</v>
      </c>
      <c r="I8" s="25" t="n">
        <v>10147.67</v>
      </c>
      <c r="J8" s="45" t="n">
        <f aca="false">IF(C8=0,0,I8/C8)</f>
        <v>0.0187642080212128</v>
      </c>
      <c r="K8" s="36" t="n">
        <f aca="false">IF(B8=0,0,C8/B8)</f>
        <v>18026.6423333333</v>
      </c>
      <c r="L8" s="36" t="n">
        <f aca="false">K8*365</f>
        <v>6579724.45166667</v>
      </c>
      <c r="M8" s="25" t="n">
        <v>144588.57</v>
      </c>
    </row>
    <row r="9" customFormat="false" ht="15" hidden="false" customHeight="false" outlineLevel="0" collapsed="false">
      <c r="A9" s="12" t="s">
        <v>202</v>
      </c>
      <c r="B9" s="23" t="n">
        <v>19</v>
      </c>
      <c r="C9" s="25" t="n">
        <v>162685.96</v>
      </c>
      <c r="D9" s="25" t="n">
        <v>162685.96</v>
      </c>
      <c r="E9" s="25" t="n">
        <v>83971.29</v>
      </c>
      <c r="F9" s="45" t="n">
        <f aca="false">IF(C9=0,0,(C9-E9)/C9)</f>
        <v>0.48384427273257</v>
      </c>
      <c r="G9" s="23" t="n">
        <v>3703</v>
      </c>
      <c r="H9" s="69" t="n">
        <f aca="false">IF(G9=0,0,C9/G9)</f>
        <v>43.9335565757494</v>
      </c>
      <c r="I9" s="25" t="n">
        <v>3192.91</v>
      </c>
      <c r="J9" s="45" t="n">
        <f aca="false">IF(C9=0,0,I9/C9)</f>
        <v>0.0196262172839008</v>
      </c>
      <c r="K9" s="36" t="n">
        <f aca="false">IF(B9=0,0,C9/B9)</f>
        <v>8562.41894736842</v>
      </c>
      <c r="L9" s="36" t="n">
        <f aca="false">K9*365</f>
        <v>3125282.91578947</v>
      </c>
      <c r="M9" s="25" t="n">
        <v>107990.33</v>
      </c>
    </row>
    <row r="10" customFormat="false" ht="15" hidden="false" customHeight="false" outlineLevel="0" collapsed="false">
      <c r="A10" s="43" t="s">
        <v>146</v>
      </c>
      <c r="B10" s="54"/>
      <c r="C10" s="44" t="n">
        <f aca="false">SUM(C7:C9)</f>
        <v>1484042.43</v>
      </c>
      <c r="D10" s="44" t="n">
        <f aca="false">SUM(D7:D9)</f>
        <v>1484042.43</v>
      </c>
      <c r="E10" s="44" t="n">
        <f aca="false">SUM(E7:E9)</f>
        <v>773286.12</v>
      </c>
      <c r="F10" s="92" t="n">
        <f aca="false">IF(C10=0,0,(C10-E10)/C10)</f>
        <v>0.478932607068384</v>
      </c>
      <c r="G10" s="73" t="n">
        <f aca="false">SUM(G7:G9)</f>
        <v>32243</v>
      </c>
      <c r="H10" s="93" t="n">
        <f aca="false">IF(G10=0,0,C10/G10)</f>
        <v>46.0268098502</v>
      </c>
      <c r="I10" s="44" t="n">
        <f aca="false">SUM(I7:I9)</f>
        <v>27876.94</v>
      </c>
      <c r="J10" s="92" t="n">
        <f aca="false">IF(C10=0,0,I10/C10)</f>
        <v>0.0187844629213196</v>
      </c>
      <c r="K10" s="44" t="n">
        <f aca="false">SUM(K7:K9)</f>
        <v>52607.6346140351</v>
      </c>
      <c r="L10" s="44" t="n">
        <f aca="false">SUM(L7:L9)</f>
        <v>19201786.6341228</v>
      </c>
      <c r="M10" s="44" t="n">
        <f aca="false">SUM(M7:M9)</f>
        <v>446914.72</v>
      </c>
    </row>
    <row r="11" customFormat="false" ht="15" hidden="false" customHeight="false" outlineLevel="0" collapsed="false">
      <c r="A11" s="2" t="s">
        <v>203</v>
      </c>
    </row>
    <row r="13" customFormat="false" ht="15" hidden="false" customHeight="false" outlineLevel="0" collapsed="false">
      <c r="A13" s="10" t="s">
        <v>135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</row>
    <row r="14" customFormat="false" ht="30" hidden="false" customHeight="true" outlineLevel="0" collapsed="false">
      <c r="A14" s="16" t="s">
        <v>136</v>
      </c>
      <c r="B14" s="17" t="s">
        <v>87</v>
      </c>
      <c r="C14" s="17" t="s">
        <v>192</v>
      </c>
      <c r="D14" s="17" t="s">
        <v>204</v>
      </c>
      <c r="E14" s="17" t="s">
        <v>193</v>
      </c>
      <c r="F14" s="17" t="s">
        <v>158</v>
      </c>
      <c r="G14" s="17" t="s">
        <v>205</v>
      </c>
      <c r="H14" s="17" t="s">
        <v>155</v>
      </c>
      <c r="I14" s="17" t="s">
        <v>206</v>
      </c>
      <c r="J14" s="17" t="s">
        <v>137</v>
      </c>
      <c r="K14" s="17" t="s">
        <v>207</v>
      </c>
      <c r="L14" s="17" t="s">
        <v>208</v>
      </c>
      <c r="M14" s="17" t="s">
        <v>145</v>
      </c>
      <c r="N14" s="17" t="s">
        <v>141</v>
      </c>
    </row>
    <row r="15" customFormat="false" ht="15" hidden="false" customHeight="false" outlineLevel="0" collapsed="false">
      <c r="A15" s="12" t="s">
        <v>209</v>
      </c>
      <c r="B15" s="25" t="n">
        <v>127119.22</v>
      </c>
      <c r="C15" s="25" t="n">
        <v>86444.96</v>
      </c>
      <c r="D15" s="23" t="n">
        <v>25878</v>
      </c>
      <c r="E15" s="45" t="n">
        <f aca="false">IF(B15=0,0,(B15-C15)/B15)</f>
        <v>0.319969395658658</v>
      </c>
      <c r="F15" s="27" t="n">
        <v>0.35</v>
      </c>
      <c r="G15" s="69" t="n">
        <f aca="false">IF(D15=0,0,B15/D15)</f>
        <v>4.91225056032151</v>
      </c>
      <c r="H15" s="69" t="n">
        <f aca="false">IF(D15=0,0,C15/D15)</f>
        <v>3.34048071721153</v>
      </c>
      <c r="I15" s="94" t="n">
        <f aca="false">D15/days_window*7</f>
        <v>6038.2</v>
      </c>
      <c r="J15" s="25" t="n">
        <v>35430.64</v>
      </c>
      <c r="K15" s="25" t="n">
        <v>1277.6</v>
      </c>
      <c r="L15" s="23" t="n">
        <v>48</v>
      </c>
      <c r="M15" s="23" t="n">
        <v>30</v>
      </c>
      <c r="N15" s="95" t="n">
        <v>7</v>
      </c>
    </row>
    <row r="16" customFormat="false" ht="15" hidden="false" customHeight="false" outlineLevel="0" collapsed="false">
      <c r="A16" s="12" t="s">
        <v>151</v>
      </c>
      <c r="B16" s="25" t="n">
        <v>164813.46</v>
      </c>
      <c r="C16" s="25" t="n">
        <v>125124.29</v>
      </c>
      <c r="D16" s="23" t="n">
        <v>5154</v>
      </c>
      <c r="E16" s="45" t="n">
        <f aca="false">IF(B16=0,0,(B16-C16)/B16)</f>
        <v>0.240812673916317</v>
      </c>
      <c r="F16" s="27" t="n">
        <v>0.28</v>
      </c>
      <c r="G16" s="69" t="n">
        <f aca="false">IF(D16=0,0,B16/D16)</f>
        <v>31.9777764842841</v>
      </c>
      <c r="H16" s="69" t="n">
        <f aca="false">IF(D16=0,0,C16/D16)</f>
        <v>24.2771226232053</v>
      </c>
      <c r="I16" s="94" t="n">
        <f aca="false">D16/days_window*7</f>
        <v>1202.6</v>
      </c>
      <c r="J16" s="25" t="n">
        <v>75957.56</v>
      </c>
      <c r="K16" s="25" t="n">
        <v>17453.14</v>
      </c>
      <c r="L16" s="23" t="n">
        <v>74</v>
      </c>
      <c r="M16" s="23" t="n">
        <v>14</v>
      </c>
      <c r="N16" s="95" t="n">
        <v>5</v>
      </c>
    </row>
    <row r="17" customFormat="false" ht="15" hidden="false" customHeight="false" outlineLevel="0" collapsed="false">
      <c r="A17" s="12" t="s">
        <v>210</v>
      </c>
      <c r="B17" s="25" t="n">
        <v>71979.37</v>
      </c>
      <c r="C17" s="25" t="n">
        <v>48884.55</v>
      </c>
      <c r="D17" s="23" t="n">
        <v>8763</v>
      </c>
      <c r="E17" s="45" t="n">
        <f aca="false">IF(B17=0,0,(B17-C17)/B17)</f>
        <v>0.320853322278314</v>
      </c>
      <c r="F17" s="27" t="n">
        <v>0.32</v>
      </c>
      <c r="G17" s="69" t="n">
        <f aca="false">IF(D17=0,0,B17/D17)</f>
        <v>8.21401004222298</v>
      </c>
      <c r="H17" s="69" t="n">
        <f aca="false">IF(D17=0,0,C17/D17)</f>
        <v>5.57851763094831</v>
      </c>
      <c r="I17" s="94" t="n">
        <f aca="false">D17/days_window*7</f>
        <v>2044.7</v>
      </c>
      <c r="J17" s="25" t="n">
        <v>25236.69</v>
      </c>
      <c r="K17" s="25" t="n">
        <v>2878.47</v>
      </c>
      <c r="L17" s="23" t="n">
        <v>56</v>
      </c>
      <c r="M17" s="23" t="n">
        <v>13</v>
      </c>
      <c r="N17" s="95" t="n">
        <v>22.5</v>
      </c>
    </row>
    <row r="18" customFormat="false" ht="15" hidden="false" customHeight="false" outlineLevel="0" collapsed="false">
      <c r="A18" s="12" t="s">
        <v>211</v>
      </c>
      <c r="B18" s="25" t="n">
        <v>141755.02</v>
      </c>
      <c r="C18" s="25" t="n">
        <v>86547.4</v>
      </c>
      <c r="D18" s="23" t="n">
        <v>12198</v>
      </c>
      <c r="E18" s="45" t="n">
        <f aca="false">IF(B18=0,0,(B18-C18)/B18)</f>
        <v>0.389457953587817</v>
      </c>
      <c r="F18" s="27" t="n">
        <v>0.38</v>
      </c>
      <c r="G18" s="69" t="n">
        <f aca="false">IF(D18=0,0,B18/D18)</f>
        <v>11.6211690441056</v>
      </c>
      <c r="H18" s="69" t="n">
        <f aca="false">IF(D18=0,0,C18/D18)</f>
        <v>7.09521232989015</v>
      </c>
      <c r="I18" s="94" t="n">
        <f aca="false">D18/days_window*7</f>
        <v>2846.2</v>
      </c>
      <c r="J18" s="25" t="n">
        <v>66704.81</v>
      </c>
      <c r="K18" s="25" t="n">
        <v>20245.23</v>
      </c>
      <c r="L18" s="23" t="n">
        <v>321</v>
      </c>
      <c r="M18" s="23" t="n">
        <v>31</v>
      </c>
      <c r="N18" s="95" t="n">
        <v>443.9</v>
      </c>
    </row>
    <row r="19" customFormat="false" ht="15" hidden="false" customHeight="false" outlineLevel="0" collapsed="false">
      <c r="A19" s="12" t="s">
        <v>212</v>
      </c>
      <c r="B19" s="25" t="n">
        <v>67439.28</v>
      </c>
      <c r="C19" s="25" t="n">
        <v>39513.74</v>
      </c>
      <c r="D19" s="23" t="n">
        <v>9272</v>
      </c>
      <c r="E19" s="45" t="n">
        <f aca="false">IF(B19=0,0,(B19-C19)/B19)</f>
        <v>0.414084195442182</v>
      </c>
      <c r="F19" s="27" t="n">
        <v>0.4</v>
      </c>
      <c r="G19" s="69" t="n">
        <f aca="false">IF(D19=0,0,B19/D19)</f>
        <v>7.27343399482312</v>
      </c>
      <c r="H19" s="69" t="n">
        <f aca="false">IF(D19=0,0,C19/D19)</f>
        <v>4.26161993097498</v>
      </c>
      <c r="I19" s="94" t="n">
        <f aca="false">D19/days_window*7</f>
        <v>2163.46666666667</v>
      </c>
      <c r="J19" s="25" t="n">
        <v>24650.48</v>
      </c>
      <c r="K19" s="25" t="n">
        <v>4624.19</v>
      </c>
      <c r="L19" s="23" t="n">
        <v>124</v>
      </c>
      <c r="M19" s="23" t="n">
        <v>25</v>
      </c>
      <c r="N19" s="95" t="n">
        <v>228.6</v>
      </c>
    </row>
    <row r="20" customFormat="false" ht="15" hidden="false" customHeight="false" outlineLevel="0" collapsed="false">
      <c r="A20" s="12" t="s">
        <v>213</v>
      </c>
      <c r="B20" s="25" t="n">
        <v>130830.96</v>
      </c>
      <c r="C20" s="25" t="n">
        <v>71061.85</v>
      </c>
      <c r="D20" s="23" t="n">
        <v>14704</v>
      </c>
      <c r="E20" s="45" t="n">
        <f aca="false">IF(B20=0,0,(B20-C20)/B20)</f>
        <v>0.456842248960032</v>
      </c>
      <c r="F20" s="27" t="n">
        <v>0.45</v>
      </c>
      <c r="G20" s="69" t="n">
        <f aca="false">IF(D20=0,0,B20/D20)</f>
        <v>8.89764417845484</v>
      </c>
      <c r="H20" s="69" t="n">
        <f aca="false">IF(D20=0,0,C20/D20)</f>
        <v>4.8328244015234</v>
      </c>
      <c r="I20" s="94" t="n">
        <f aca="false">D20/days_window*7</f>
        <v>3430.93333333333</v>
      </c>
      <c r="J20" s="25" t="n">
        <v>36045.4</v>
      </c>
      <c r="K20" s="25" t="n">
        <v>3583.23</v>
      </c>
      <c r="L20" s="23" t="n">
        <v>80</v>
      </c>
      <c r="M20" s="23" t="n">
        <v>15</v>
      </c>
      <c r="N20" s="95" t="n">
        <v>3</v>
      </c>
    </row>
    <row r="21" customFormat="false" ht="15" hidden="false" customHeight="false" outlineLevel="0" collapsed="false">
      <c r="A21" s="12" t="s">
        <v>214</v>
      </c>
      <c r="B21" s="25" t="n">
        <v>557894.52</v>
      </c>
      <c r="C21" s="25" t="n">
        <v>206716.08</v>
      </c>
      <c r="D21" s="23" t="n">
        <v>32648</v>
      </c>
      <c r="E21" s="45" t="n">
        <f aca="false">IF(B21=0,0,(B21-C21)/B21)</f>
        <v>0.629471033341572</v>
      </c>
      <c r="F21" s="27" t="n">
        <v>0.65</v>
      </c>
      <c r="G21" s="69" t="n">
        <f aca="false">IF(D21=0,0,B21/D21)</f>
        <v>17.0881683410929</v>
      </c>
      <c r="H21" s="69" t="n">
        <f aca="false">IF(D21=0,0,C21/D21)</f>
        <v>6.33166135751041</v>
      </c>
      <c r="I21" s="94" t="n">
        <f aca="false">D21/days_window*7</f>
        <v>7617.86666666667</v>
      </c>
      <c r="J21" s="25" t="n">
        <v>0</v>
      </c>
      <c r="K21" s="25" t="n">
        <v>0</v>
      </c>
      <c r="L21" s="23" t="n">
        <v>0</v>
      </c>
      <c r="M21" s="23" t="n">
        <v>0</v>
      </c>
      <c r="N21" s="95" t="n">
        <v>1</v>
      </c>
    </row>
    <row r="22" customFormat="false" ht="15" hidden="false" customHeight="false" outlineLevel="0" collapsed="false">
      <c r="A22" s="12" t="s">
        <v>215</v>
      </c>
      <c r="B22" s="25" t="n">
        <v>145531.14</v>
      </c>
      <c r="C22" s="25" t="n">
        <v>74268.65</v>
      </c>
      <c r="D22" s="23" t="n">
        <v>2986</v>
      </c>
      <c r="E22" s="45" t="n">
        <f aca="false">IF(B22=0,0,(B22-C22)/B22)</f>
        <v>0.489671763720122</v>
      </c>
      <c r="F22" s="27" t="n">
        <v>0.48</v>
      </c>
      <c r="G22" s="69" t="n">
        <f aca="false">IF(D22=0,0,B22/D22)</f>
        <v>48.7378231748158</v>
      </c>
      <c r="H22" s="69" t="n">
        <f aca="false">IF(D22=0,0,C22/D22)</f>
        <v>24.8722873409243</v>
      </c>
      <c r="I22" s="94" t="n">
        <f aca="false">D22/days_window*7</f>
        <v>696.733333333333</v>
      </c>
      <c r="J22" s="25" t="n">
        <v>115644.69</v>
      </c>
      <c r="K22" s="25" t="n">
        <v>68232.64</v>
      </c>
      <c r="L22" s="23" t="n">
        <v>306</v>
      </c>
      <c r="M22" s="23" t="n">
        <v>13</v>
      </c>
      <c r="N22" s="95" t="n">
        <v>541.6</v>
      </c>
    </row>
    <row r="23" customFormat="false" ht="15" hidden="false" customHeight="false" outlineLevel="0" collapsed="false">
      <c r="A23" s="12" t="s">
        <v>216</v>
      </c>
      <c r="B23" s="25" t="n">
        <v>70906.6</v>
      </c>
      <c r="C23" s="25" t="n">
        <v>31261.32</v>
      </c>
      <c r="D23" s="23" t="n">
        <v>1540</v>
      </c>
      <c r="E23" s="45" t="n">
        <f aca="false">IF(B23=0,0,(B23-C23)/B23)</f>
        <v>0.559119743437141</v>
      </c>
      <c r="F23" s="27" t="n">
        <v>0.55</v>
      </c>
      <c r="G23" s="69" t="n">
        <f aca="false">IF(D23=0,0,B23/D23)</f>
        <v>46.0432467532468</v>
      </c>
      <c r="H23" s="69" t="n">
        <f aca="false">IF(D23=0,0,C23/D23)</f>
        <v>20.2995584415584</v>
      </c>
      <c r="I23" s="94" t="n">
        <f aca="false">D23/days_window*7</f>
        <v>359.333333333333</v>
      </c>
      <c r="J23" s="25" t="n">
        <v>67244.45</v>
      </c>
      <c r="K23" s="25" t="n">
        <v>46965.61</v>
      </c>
      <c r="L23" s="23" t="n">
        <v>265</v>
      </c>
      <c r="M23" s="23" t="n">
        <v>14</v>
      </c>
      <c r="N23" s="95" t="n">
        <v>743.6</v>
      </c>
    </row>
    <row r="24" customFormat="false" ht="15" hidden="false" customHeight="false" outlineLevel="0" collapsed="false">
      <c r="A24" s="12" t="s">
        <v>217</v>
      </c>
      <c r="B24" s="25" t="n">
        <v>5772.86</v>
      </c>
      <c r="C24" s="25" t="n">
        <v>3463.28</v>
      </c>
      <c r="D24" s="23" t="n">
        <v>314</v>
      </c>
      <c r="E24" s="45" t="n">
        <f aca="false">IF(B24=0,0,(B24-C24)/B24)</f>
        <v>0.400075525822556</v>
      </c>
      <c r="G24" s="69" t="n">
        <f aca="false">IF(D24=0,0,B24/D24)</f>
        <v>18.3849044585987</v>
      </c>
      <c r="H24" s="69" t="n">
        <f aca="false">IF(D24=0,0,C24/D24)</f>
        <v>11.0295541401274</v>
      </c>
      <c r="I24" s="94" t="n">
        <f aca="false">D24/days_window*7</f>
        <v>73.2666666666667</v>
      </c>
    </row>
    <row r="25" customFormat="false" ht="15" hidden="false" customHeight="false" outlineLevel="0" collapsed="false">
      <c r="A25" s="43" t="s">
        <v>146</v>
      </c>
      <c r="B25" s="44" t="n">
        <f aca="false">SUM(B15:B24)</f>
        <v>1484042.43</v>
      </c>
      <c r="C25" s="44" t="n">
        <f aca="false">SUM(C15:C24)</f>
        <v>773286.12</v>
      </c>
      <c r="D25" s="73" t="n">
        <f aca="false">SUM(D15:D24)</f>
        <v>113457</v>
      </c>
      <c r="E25" s="92" t="n">
        <f aca="false">IF(B25=0,0,(B25-C25)/B25)</f>
        <v>0.478932607068384</v>
      </c>
      <c r="F25" s="54"/>
      <c r="G25" s="54"/>
      <c r="H25" s="54"/>
      <c r="I25" s="54"/>
      <c r="J25" s="44" t="n">
        <f aca="false">SUM(J15:J24)</f>
        <v>446914.72</v>
      </c>
      <c r="K25" s="44" t="n">
        <f aca="false">SUM(K15:K24)</f>
        <v>165260.11</v>
      </c>
      <c r="L25" s="73" t="n">
        <f aca="false">SUM(L15:L24)</f>
        <v>1274</v>
      </c>
      <c r="M25" s="73" t="n">
        <f aca="false">SUM(M15:M24)</f>
        <v>155</v>
      </c>
      <c r="N25" s="54"/>
    </row>
    <row r="26" customFormat="false" ht="15" hidden="false" customHeight="false" outlineLevel="0" collapsed="false">
      <c r="A26" s="2" t="s">
        <v>218</v>
      </c>
    </row>
    <row r="29" customFormat="false" ht="15" hidden="false" customHeight="false" outlineLevel="0" collapsed="false">
      <c r="A29" s="10" t="s">
        <v>219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</row>
    <row r="30" customFormat="false" ht="15" hidden="false" customHeight="false" outlineLevel="0" collapsed="false">
      <c r="A30" s="16" t="s">
        <v>112</v>
      </c>
      <c r="B30" s="16" t="s">
        <v>220</v>
      </c>
      <c r="C30" s="16" t="s">
        <v>221</v>
      </c>
      <c r="D30" s="17" t="s">
        <v>87</v>
      </c>
      <c r="E30" s="17" t="s">
        <v>192</v>
      </c>
      <c r="F30" s="17" t="s">
        <v>89</v>
      </c>
      <c r="G30" s="17" t="s">
        <v>222</v>
      </c>
    </row>
    <row r="31" customFormat="false" ht="15" hidden="false" customHeight="false" outlineLevel="0" collapsed="false">
      <c r="A31" s="96" t="n">
        <v>-6</v>
      </c>
      <c r="B31" s="97" t="n">
        <v>46252</v>
      </c>
      <c r="C31" s="97" t="n">
        <v>46258</v>
      </c>
      <c r="D31" s="25" t="n">
        <v>309198.76</v>
      </c>
      <c r="E31" s="25" t="n">
        <v>161340.88</v>
      </c>
      <c r="F31" s="25" t="n">
        <v>5996.33</v>
      </c>
      <c r="G31" s="36" t="n">
        <f aca="false">E31+F31</f>
        <v>167337.21</v>
      </c>
    </row>
    <row r="32" customFormat="false" ht="15" hidden="false" customHeight="false" outlineLevel="0" collapsed="false">
      <c r="A32" s="96" t="n">
        <v>-5</v>
      </c>
      <c r="B32" s="97" t="n">
        <v>46259</v>
      </c>
      <c r="C32" s="97" t="n">
        <v>46265</v>
      </c>
      <c r="D32" s="25" t="n">
        <v>302553</v>
      </c>
      <c r="E32" s="25" t="n">
        <v>157989.91</v>
      </c>
      <c r="F32" s="25" t="n">
        <v>5925.44</v>
      </c>
      <c r="G32" s="36" t="n">
        <f aca="false">E32+F32</f>
        <v>163915.35</v>
      </c>
    </row>
    <row r="33" customFormat="false" ht="15" hidden="false" customHeight="false" outlineLevel="0" collapsed="false">
      <c r="A33" s="96" t="n">
        <v>-4</v>
      </c>
      <c r="B33" s="97" t="n">
        <v>46266</v>
      </c>
      <c r="C33" s="97" t="n">
        <v>46272</v>
      </c>
      <c r="D33" s="25" t="n">
        <v>297074.34</v>
      </c>
      <c r="E33" s="25" t="n">
        <v>155590.79</v>
      </c>
      <c r="F33" s="25" t="n">
        <v>5369.14</v>
      </c>
      <c r="G33" s="36" t="n">
        <f aca="false">E33+F33</f>
        <v>160959.93</v>
      </c>
    </row>
    <row r="34" customFormat="false" ht="15" hidden="false" customHeight="false" outlineLevel="0" collapsed="false">
      <c r="A34" s="96" t="n">
        <v>-3</v>
      </c>
      <c r="B34" s="97" t="n">
        <v>46273</v>
      </c>
      <c r="C34" s="97" t="n">
        <v>46279</v>
      </c>
      <c r="D34" s="25" t="n">
        <v>346261.53</v>
      </c>
      <c r="E34" s="25" t="n">
        <v>180670.35</v>
      </c>
      <c r="F34" s="25" t="n">
        <v>6608.4</v>
      </c>
      <c r="G34" s="36" t="n">
        <f aca="false">E34+F34</f>
        <v>187278.75</v>
      </c>
    </row>
    <row r="35" customFormat="false" ht="15" hidden="false" customHeight="false" outlineLevel="0" collapsed="false">
      <c r="A35" s="96" t="n">
        <v>-2</v>
      </c>
      <c r="B35" s="97" t="n">
        <v>46280</v>
      </c>
      <c r="C35" s="97" t="n">
        <v>46286</v>
      </c>
      <c r="D35" s="25" t="n">
        <v>380597.44</v>
      </c>
      <c r="E35" s="25" t="n">
        <v>197581.13</v>
      </c>
      <c r="F35" s="25" t="n">
        <v>7333.66</v>
      </c>
      <c r="G35" s="36" t="n">
        <f aca="false">E35+F35</f>
        <v>204914.79</v>
      </c>
    </row>
    <row r="36" customFormat="false" ht="15" hidden="false" customHeight="false" outlineLevel="0" collapsed="false">
      <c r="A36" s="96" t="n">
        <v>-1</v>
      </c>
      <c r="B36" s="97" t="n">
        <v>46287</v>
      </c>
      <c r="C36" s="97" t="n">
        <v>46293</v>
      </c>
      <c r="D36" s="25" t="n">
        <v>374681.5</v>
      </c>
      <c r="E36" s="25" t="n">
        <v>194726.56</v>
      </c>
      <c r="F36" s="25" t="n">
        <v>6869.12</v>
      </c>
      <c r="G36" s="36" t="n">
        <f aca="false">E36+F36</f>
        <v>201595.68</v>
      </c>
    </row>
    <row r="37" customFormat="false" ht="15" hidden="false" customHeight="false" outlineLevel="0" collapsed="false">
      <c r="A37" s="2" t="s">
        <v>223</v>
      </c>
    </row>
    <row r="40" customFormat="false" ht="15" hidden="false" customHeight="false" outlineLevel="0" collapsed="false">
      <c r="A40" s="10" t="s">
        <v>224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</row>
    <row r="41" customFormat="false" ht="23.85" hidden="false" customHeight="false" outlineLevel="0" collapsed="false">
      <c r="A41" s="16" t="s">
        <v>225</v>
      </c>
      <c r="B41" s="17" t="s">
        <v>226</v>
      </c>
      <c r="C41" s="17" t="s">
        <v>192</v>
      </c>
      <c r="D41" s="17" t="s">
        <v>227</v>
      </c>
      <c r="E41" s="17" t="s">
        <v>228</v>
      </c>
    </row>
    <row r="42" customFormat="false" ht="15" hidden="false" customHeight="false" outlineLevel="0" collapsed="false">
      <c r="A42" s="12" t="s">
        <v>229</v>
      </c>
      <c r="B42" s="23" t="n">
        <v>1</v>
      </c>
      <c r="C42" s="25" t="n">
        <v>206716.08</v>
      </c>
      <c r="D42" s="45" t="n">
        <f aca="false">IF($C$47=0,0,C42/$C$47)</f>
        <v>0.267321596306423</v>
      </c>
      <c r="E42" s="51" t="n">
        <v>0</v>
      </c>
    </row>
    <row r="43" customFormat="false" ht="15" hidden="false" customHeight="false" outlineLevel="0" collapsed="false">
      <c r="A43" s="12" t="s">
        <v>230</v>
      </c>
      <c r="B43" s="23" t="n">
        <v>8</v>
      </c>
      <c r="C43" s="25" t="n">
        <v>134470.99</v>
      </c>
      <c r="D43" s="45" t="n">
        <f aca="false">IF($C$47=0,0,C43/$C$47)</f>
        <v>0.173895517483231</v>
      </c>
      <c r="E43" s="51" t="n">
        <v>2</v>
      </c>
    </row>
    <row r="44" customFormat="false" ht="15" hidden="false" customHeight="false" outlineLevel="0" collapsed="false">
      <c r="A44" s="12" t="s">
        <v>231</v>
      </c>
      <c r="B44" s="23" t="n">
        <v>11</v>
      </c>
      <c r="C44" s="25" t="n">
        <v>206208.02</v>
      </c>
      <c r="D44" s="45" t="n">
        <f aca="false">IF($C$47=0,0,C44/$C$47)</f>
        <v>0.266664582056639</v>
      </c>
      <c r="E44" s="51" t="n">
        <v>4</v>
      </c>
    </row>
    <row r="45" customFormat="false" ht="15" hidden="false" customHeight="false" outlineLevel="0" collapsed="false">
      <c r="A45" s="12" t="s">
        <v>232</v>
      </c>
      <c r="B45" s="23" t="n">
        <v>13</v>
      </c>
      <c r="C45" s="25" t="n">
        <v>194584.65</v>
      </c>
      <c r="D45" s="45" t="n">
        <f aca="false">IF($C$47=0,0,C45/$C$47)</f>
        <v>0.251633444552192</v>
      </c>
      <c r="E45" s="51" t="n">
        <v>6</v>
      </c>
    </row>
    <row r="46" customFormat="false" ht="15" hidden="false" customHeight="false" outlineLevel="0" collapsed="false">
      <c r="A46" s="12" t="s">
        <v>233</v>
      </c>
      <c r="B46" s="23" t="n">
        <v>3</v>
      </c>
      <c r="C46" s="25" t="n">
        <v>31306.38</v>
      </c>
      <c r="D46" s="45" t="n">
        <f aca="false">IF($C$47=0,0,C46/$C$47)</f>
        <v>0.0404848596015146</v>
      </c>
      <c r="E46" s="51" t="n">
        <v>4</v>
      </c>
    </row>
    <row r="47" customFormat="false" ht="15" hidden="false" customHeight="false" outlineLevel="0" collapsed="false">
      <c r="A47" s="43" t="s">
        <v>146</v>
      </c>
      <c r="B47" s="54"/>
      <c r="C47" s="44" t="n">
        <f aca="false">SUM(C42:C46)</f>
        <v>773286.12</v>
      </c>
      <c r="D47" s="92" t="n">
        <f aca="false">SUM(D42:D46)</f>
        <v>1</v>
      </c>
      <c r="E47" s="54"/>
    </row>
    <row r="48" customFormat="false" ht="15" hidden="false" customHeight="false" outlineLevel="0" collapsed="false">
      <c r="A48" s="2" t="s">
        <v>234</v>
      </c>
    </row>
    <row r="51" customFormat="false" ht="15" hidden="false" customHeight="false" outlineLevel="0" collapsed="false">
      <c r="A51" s="10" t="s">
        <v>235</v>
      </c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</row>
    <row r="52" customFormat="false" ht="23.85" hidden="false" customHeight="false" outlineLevel="0" collapsed="false">
      <c r="A52" s="16" t="s">
        <v>236</v>
      </c>
      <c r="B52" s="17" t="s">
        <v>237</v>
      </c>
      <c r="C52" s="17" t="s">
        <v>238</v>
      </c>
      <c r="D52" s="17" t="s">
        <v>239</v>
      </c>
      <c r="E52" s="17" t="s">
        <v>240</v>
      </c>
    </row>
    <row r="53" customFormat="false" ht="15" hidden="false" customHeight="false" outlineLevel="0" collapsed="false">
      <c r="A53" s="12" t="s">
        <v>241</v>
      </c>
      <c r="B53" s="36" t="n">
        <f aca="false">C10</f>
        <v>1484042.43</v>
      </c>
      <c r="C53" s="36" t="n">
        <f aca="false">D10</f>
        <v>1484042.43</v>
      </c>
      <c r="D53" s="36" t="n">
        <f aca="false">B53-C53</f>
        <v>0</v>
      </c>
      <c r="E53" s="98" t="str">
        <f aca="false">IF(ABS(D53)&lt;=0.005*MAX(1,ABS(C53)),"OK","CHECK")</f>
        <v>OK</v>
      </c>
    </row>
    <row r="54" customFormat="false" ht="15" hidden="false" customHeight="false" outlineLevel="0" collapsed="false">
      <c r="A54" s="12" t="s">
        <v>242</v>
      </c>
      <c r="B54" s="36" t="n">
        <f aca="false">B25</f>
        <v>1484042.43</v>
      </c>
      <c r="C54" s="36" t="n">
        <f aca="false">C10</f>
        <v>1484042.43</v>
      </c>
      <c r="D54" s="36" t="n">
        <f aca="false">B54-C54</f>
        <v>0</v>
      </c>
      <c r="E54" s="98" t="str">
        <f aca="false">IF(ABS(D54)&lt;=0.005*MAX(1,ABS(C54)),"OK","CHECK")</f>
        <v>OK</v>
      </c>
    </row>
    <row r="55" customFormat="false" ht="15" hidden="false" customHeight="false" outlineLevel="0" collapsed="false">
      <c r="A55" s="12" t="s">
        <v>243</v>
      </c>
      <c r="B55" s="36" t="n">
        <f aca="false">C25</f>
        <v>773286.12</v>
      </c>
      <c r="C55" s="36" t="n">
        <f aca="false">E10</f>
        <v>773286.12</v>
      </c>
      <c r="D55" s="36" t="n">
        <f aca="false">B55-C55</f>
        <v>0</v>
      </c>
      <c r="E55" s="98" t="str">
        <f aca="false">IF(ABS(D55)&lt;=0.005*MAX(1,ABS(C55)),"OK","CHECK")</f>
        <v>OK</v>
      </c>
    </row>
    <row r="56" customFormat="false" ht="15" hidden="false" customHeight="false" outlineLevel="0" collapsed="false">
      <c r="A56" s="12" t="s">
        <v>244</v>
      </c>
      <c r="B56" s="36" t="n">
        <f aca="false">C47</f>
        <v>773286.12</v>
      </c>
      <c r="C56" s="36" t="n">
        <f aca="false">E10</f>
        <v>773286.12</v>
      </c>
      <c r="D56" s="36" t="n">
        <f aca="false">B56-C56</f>
        <v>0</v>
      </c>
      <c r="E56" s="98" t="str">
        <f aca="false">IF(ABS(D56)&lt;=0.005*MAX(1,ABS(C56)),"OK","CHECK")</f>
        <v>OK</v>
      </c>
    </row>
    <row r="57" customFormat="false" ht="15" hidden="false" customHeight="false" outlineLevel="0" collapsed="false">
      <c r="A57" s="12" t="s">
        <v>245</v>
      </c>
      <c r="B57" s="36" t="n">
        <f aca="false">J25</f>
        <v>446914.72</v>
      </c>
      <c r="C57" s="36" t="n">
        <f aca="false">M10</f>
        <v>446914.72</v>
      </c>
      <c r="D57" s="36" t="n">
        <f aca="false">B57-C57</f>
        <v>0</v>
      </c>
      <c r="E57" s="98" t="str">
        <f aca="false">IF(ABS(D57)&lt;=0.005*MAX(1,ABS(C57)),"OK","CHECK")</f>
        <v>OK</v>
      </c>
    </row>
    <row r="58" customFormat="false" ht="15" hidden="false" customHeight="false" outlineLevel="0" collapsed="false">
      <c r="A58" s="12" t="s">
        <v>246</v>
      </c>
      <c r="B58" s="36" t="n">
        <f aca="false">SUM('New Store'!$D$52:$BK$52)</f>
        <v>3112214.36721807</v>
      </c>
      <c r="C58" s="36" t="n">
        <f aca="false">SUM('New Store'!B29:F29)</f>
        <v>3112214.36721807</v>
      </c>
      <c r="D58" s="36" t="n">
        <f aca="false">B58-C58</f>
        <v>0</v>
      </c>
      <c r="E58" s="98" t="str">
        <f aca="false">IF(ABS(D58)&lt;=0.005*MAX(1,ABS(C58)),"OK","CHECK")</f>
        <v>OK</v>
      </c>
    </row>
    <row r="59" customFormat="false" ht="15" hidden="false" customHeight="false" outlineLevel="0" collapsed="false">
      <c r="A59" s="12" t="s">
        <v>247</v>
      </c>
      <c r="B59" s="36" t="n">
        <f aca="false">Cash!T28</f>
        <v>-1134848.27174883</v>
      </c>
      <c r="C59" s="36" t="n">
        <f aca="false">cash_open+SUM(Cash!H27:T27)</f>
        <v>-1134848.27174883</v>
      </c>
      <c r="D59" s="36" t="n">
        <f aca="false">B59-C59</f>
        <v>0</v>
      </c>
      <c r="E59" s="98" t="str">
        <f aca="false">IF(ABS(D59)&lt;=0.005*MAX(1,ABS(C59)),"OK","CHECK")</f>
        <v>OK</v>
      </c>
    </row>
    <row r="60" customFormat="false" ht="15" hidden="false" customHeight="false" outlineLevel="0" collapsed="false">
      <c r="A60" s="12" t="s">
        <v>248</v>
      </c>
      <c r="B60" s="36" t="n">
        <f aca="false">Inventory!B19</f>
        <v>446914.72</v>
      </c>
      <c r="C60" s="36" t="n">
        <f aca="false">M10</f>
        <v>446914.72</v>
      </c>
      <c r="D60" s="36" t="n">
        <f aca="false">B60-C60</f>
        <v>0</v>
      </c>
      <c r="E60" s="98" t="str">
        <f aca="false">IF(ABS(D60)&lt;=0.005*MAX(1,ABS(C60)),"OK","CHECK")</f>
        <v>OK</v>
      </c>
    </row>
    <row r="61" customFormat="false" ht="15" hidden="false" customHeight="false" outlineLevel="0" collapsed="false">
      <c r="A61" s="12" t="s">
        <v>249</v>
      </c>
      <c r="B61" s="36" t="n">
        <f aca="false">SUM(Pricing!B28:F28)</f>
        <v>0</v>
      </c>
      <c r="C61" s="25" t="n">
        <v>0</v>
      </c>
      <c r="D61" s="36" t="n">
        <f aca="false">B61-C61</f>
        <v>0</v>
      </c>
      <c r="E61" s="98" t="str">
        <f aca="false">IF(ABS(D61)&lt;=0.005*MAX(1,ABS(C61)),"OK","CHECK")</f>
        <v>OK</v>
      </c>
    </row>
    <row r="62" customFormat="false" ht="15" hidden="false" customHeight="false" outlineLevel="0" collapsed="false">
      <c r="A62" s="12" t="s">
        <v>250</v>
      </c>
      <c r="E62" s="98" t="str">
        <f aca="false">IF(ISNUMBER(MATCH(scenario,Inputs!$D$6:$F$6,0)),"OK","CHECK")</f>
        <v>OK</v>
      </c>
    </row>
    <row r="63" customFormat="false" ht="15" hidden="false" customHeight="false" outlineLevel="0" collapsed="false">
      <c r="A63" s="12" t="s">
        <v>251</v>
      </c>
      <c r="E63" s="98" t="str">
        <f aca="false">IF(AND(ramp_start&gt;0,ramp_start&lt;=1,ramp_months&gt;=1,labor_floor&gt;=0,labor_floor&lt;=1),"OK","CHECK")</f>
        <v>OK</v>
      </c>
    </row>
    <row r="64" customFormat="false" ht="15" hidden="false" customHeight="false" outlineLevel="0" collapsed="false">
      <c r="A64" s="12" t="s">
        <v>252</v>
      </c>
      <c r="E64" s="98" t="str">
        <f aca="false">IF(AND(MIN(E42:E46)&gt;=0,MAX(E42:E46)&lt;=6),"OK","CHECK")</f>
        <v>OK</v>
      </c>
    </row>
    <row r="65" customFormat="false" ht="15" hidden="false" customHeight="false" outlineLevel="0" collapsed="false">
      <c r="A65" s="12" t="s">
        <v>253</v>
      </c>
      <c r="E65" s="98" t="str">
        <f aca="false">IF(ABS(D47-1)&lt;0.0001,"OK","CHECK")</f>
        <v>OK</v>
      </c>
    </row>
    <row r="66" customFormat="false" ht="15" hidden="false" customHeight="false" outlineLevel="0" collapsed="false">
      <c r="A66" s="12" t="s">
        <v>254</v>
      </c>
      <c r="E66" s="98" t="str">
        <f aca="false">IF(ISNUMBER(MATCH(category,category_list,0)),"OK","CHECK")</f>
        <v>OK</v>
      </c>
    </row>
    <row r="68" customFormat="false" ht="15" hidden="false" customHeight="false" outlineLevel="0" collapsed="false">
      <c r="A68" s="3" t="s">
        <v>255</v>
      </c>
      <c r="B68" s="3" t="str">
        <f aca="false">IF(COUNTIF(E53:E66,"OK")=ROWS(E53:E66),"All "&amp;ROWS(E53:E66)&amp;" checks pass",ROWS(E53:E66)-COUNTIF(E53:E66,"OK")&amp;" of "&amp;ROWS(E53:E66)&amp;" checks need a look")</f>
        <v>All 14 checks pass</v>
      </c>
    </row>
  </sheetData>
  <conditionalFormatting sqref="E53:E66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2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2026-10-01T22:40:56Z</dcterms:created>
  <dc:creator>openpyxl</dc:creator>
  <dc:description/>
  <dc:language>en-US</dc:language>
  <cp:lastModifiedBy/>
  <dcterms:modified xsi:type="dcterms:W3CDTF">2026-10-01T17:41:00Z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