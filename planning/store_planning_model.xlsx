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Actuals" sheetId="3" state="visible" r:id="rId5"/>
    <sheet name="New Store" sheetId="4" state="visible" r:id="rId6"/>
    <sheet name="3-Year Plan" sheetId="5" state="visible" r:id="rId7"/>
    <sheet name="Pricing" sheetId="6" state="visible" r:id="rId8"/>
    <sheet name="Checks" sheetId="7" state="visible" r:id="rId9"/>
  </sheets>
  <definedNames>
    <definedName function="false" hidden="false" name="app_cost" vbProcedure="false">Inputs!$C$30</definedName>
    <definedName function="false" hidden="false" name="app_cost_base" vbProcedure="false">Inputs!$D$30</definedName>
    <definedName function="false" hidden="false" name="app_pct" vbProcedure="false">Inputs!$C$29</definedName>
    <definedName function="false" hidden="false" name="app_pct_base" vbProcedure="false">Inputs!$D$29</definedName>
    <definedName function="false" hidden="false" name="app_ramp_27" vbProcedure="false">Inputs!$C$48</definedName>
    <definedName function="false" hidden="false" name="app_ramp_28" vbProcedure="false">Inputs!$C$49</definedName>
    <definedName function="false" hidden="false" name="app_ramp_29" vbProcedure="false">Inputs!$C$50</definedName>
    <definedName function="false" hidden="false" name="buildout_psf" vbProcedure="false">Inputs!$C$17</definedName>
    <definedName function="false" hidden="false" name="buildout_psf_base" vbProcedure="false">Inputs!$D$17</definedName>
    <definedName function="false" hidden="false" name="cafe_gm" vbProcedure="false">Actuals!$D$31</definedName>
    <definedName function="false" hidden="false" name="cafe_runrate" vbProcedure="false">Actuals!$F$31</definedName>
    <definedName function="false" hidden="false" name="category" vbProcedure="false">Pricing!$B$4</definedName>
    <definedName function="false" hidden="false" name="category_list" vbProcedure="false">Actuals!$A$15:$A$23</definedName>
    <definedName function="false" hidden="false" name="cat_margin" vbProcedure="false">Inputs!$C$28</definedName>
    <definedName function="false" hidden="false" name="cat_margin_base" vbProcedure="false">Inputs!$D$28</definedName>
    <definedName function="false" hidden="false" name="cat_y1" vbProcedure="false">Inputs!$C$26</definedName>
    <definedName function="false" hidden="false" name="cat_y1_base" vbProcedure="false">Inputs!$D$26</definedName>
    <definedName function="false" hidden="false" name="checks_status" vbProcedure="false">Checks!$B$19</definedName>
    <definedName function="false" hidden="false" name="days_window" vbProcedure="false">Actuals!$B$3</definedName>
    <definedName function="false" hidden="false" name="fee" vbProcedure="false">Inputs!$C$47</definedName>
    <definedName function="false" hidden="false" name="flag_runrate" vbProcedure="false">Actuals!$N$7</definedName>
    <definedName function="false" hidden="false" name="gm_actual" vbProcedure="false">Actuals!$F$10</definedName>
    <definedName function="false" hidden="false" name="gm_delta" vbProcedure="false">Inputs!$C$11</definedName>
    <definedName function="false" hidden="false" name="gm_delta_base" vbProcedure="false">Inputs!$D$11</definedName>
    <definedName function="false" hidden="false" name="grocery_gm" vbProcedure="false">Actuals!$D$30</definedName>
    <definedName function="false" hidden="false" name="grocery_runrate" vbProcedure="false">Actuals!$F$30</definedName>
    <definedName function="false" hidden="false" name="g_cafe" vbProcedure="false">Inputs!$C$22</definedName>
    <definedName function="false" hidden="false" name="g_cafe_base" vbProcedure="false">Inputs!$D$22</definedName>
    <definedName function="false" hidden="false" name="g_cat" vbProcedure="false">Inputs!$C$27</definedName>
    <definedName function="false" hidden="false" name="g_cat_base" vbProcedure="false">Inputs!$D$27</definedName>
    <definedName function="false" hidden="false" name="g_grocery" vbProcedure="false">Inputs!$C$21</definedName>
    <definedName function="false" hidden="false" name="g_grocery_base" vbProcedure="false">Inputs!$D$21</definedName>
    <definedName function="false" hidden="false" name="g_members" vbProcedure="false">Inputs!$C$33</definedName>
    <definedName function="false" hidden="false" name="g_members_base" vbProcedure="false">Inputs!$D$33</definedName>
    <definedName function="false" hidden="false" name="ho_pct" vbProcedure="false">Inputs!$C$38</definedName>
    <definedName function="false" hidden="false" name="ho_pct_base" vbProcedure="false">Inputs!$D$38</definedName>
    <definedName function="false" hidden="false" name="inventory" vbProcedure="false">Inputs!$C$45</definedName>
    <definedName function="false" hidden="false" name="labor_floor" vbProcedure="false">Inputs!$C$14</definedName>
    <definedName function="false" hidden="false" name="labor_floor_base" vbProcedure="false">Inputs!$D$14</definedName>
    <definedName function="false" hidden="false" name="labor_pct" vbProcedure="false">Inputs!$C$13</definedName>
    <definedName function="false" hidden="false" name="labor_pct_base" vbProcedure="false">Inputs!$D$13</definedName>
    <definedName function="false" hidden="false" name="member_tx" vbProcedure="false">Actuals!$H$10</definedName>
    <definedName function="false" hidden="false" name="ns_coc" vbProcedure="false">'New Store'!$B$20</definedName>
    <definedName function="false" hidden="false" name="ns_gm" vbProcedure="false">'New Store'!$B$11</definedName>
    <definedName function="false" hidden="false" name="ns_invest" vbProcedure="false">'New Store'!$B$15</definedName>
    <definedName function="false" hidden="false" name="ns_mature_sales" vbProcedure="false">'New Store'!$B$10</definedName>
    <definedName function="false" hidden="false" name="ns_payback" vbProcedure="false">'New Store'!$B$18</definedName>
    <definedName function="false" hidden="false" name="ns_y3_ebitda" vbProcedure="false">'New Store'!$B$19</definedName>
    <definedName function="false" hidden="false" name="open_2027" vbProcedure="false">Inputs!$C$23</definedName>
    <definedName function="false" hidden="false" name="open_2027_base" vbProcedure="false">Inputs!$D$23</definedName>
    <definedName function="false" hidden="false" name="open_2028" vbProcedure="false">Inputs!$C$24</definedName>
    <definedName function="false" hidden="false" name="open_2028_base" vbProcedure="false">Inputs!$D$24</definedName>
    <definedName function="false" hidden="false" name="open_2029" vbProcedure="false">Inputs!$C$25</definedName>
    <definedName function="false" hidden="false" name="open_2029_base" vbProcedure="false">Inputs!$D$25</definedName>
    <definedName function="false" hidden="false" name="other_pct" vbProcedure="false">Inputs!$C$16</definedName>
    <definedName function="false" hidden="false" name="other_pct_base" vbProcedure="false">Inputs!$D$16</definedName>
    <definedName function="false" hidden="false" name="paid_conv" vbProcedure="false">Inputs!$C$34</definedName>
    <definedName function="false" hidden="false" name="paid_conv_base" vbProcedure="false">Inputs!$D$34</definedName>
    <definedName function="false" hidden="false" name="perks_cost" vbProcedure="false">Inputs!$C$35</definedName>
    <definedName function="false" hidden="false" name="perks_cost_base" vbProcedure="false">Inputs!$D$35</definedName>
    <definedName function="false" hidden="false" name="preopen" vbProcedure="false">Inputs!$C$18</definedName>
    <definedName function="false" hidden="false" name="preopen_base" vbProcedure="false">Inputs!$D$18</definedName>
    <definedName function="false" hidden="false" name="prod" vbProcedure="false">Inputs!$C$8</definedName>
    <definedName function="false" hidden="false" name="prod_base" vbProcedure="false">Inputs!$D$8</definedName>
    <definedName function="false" hidden="false" name="ramp_months" vbProcedure="false">Inputs!$C$10</definedName>
    <definedName function="false" hidden="false" name="ramp_months_base" vbProcedure="false">Inputs!$D$10</definedName>
    <definedName function="false" hidden="false" name="ramp_start" vbProcedure="false">Inputs!$C$9</definedName>
    <definedName function="false" hidden="false" name="ramp_start_base" vbProcedure="false">Inputs!$D$9</definedName>
    <definedName function="false" hidden="false" name="rent_psf" vbProcedure="false">Inputs!$C$15</definedName>
    <definedName function="false" hidden="false" name="rent_psf_base" vbProcedure="false">Inputs!$D$15</definedName>
    <definedName function="false" hidden="false" name="s1_per_day" vbProcedure="false">Actuals!$M$7</definedName>
    <definedName function="false" hidden="false" name="s3_per_day" vbProcedure="false">Actuals!$M$9</definedName>
    <definedName function="false" hidden="false" name="scenario" vbProcedure="false">Inputs!$C$4</definedName>
    <definedName function="false" hidden="false" name="sqft_new" vbProcedure="false">Inputs!$C$44</definedName>
    <definedName function="false" hidden="false" name="sqft_s1" vbProcedure="false">Inputs!$C$41</definedName>
    <definedName function="false" hidden="false" name="sqft_s2" vbProcedure="false">Inputs!$C$42</definedName>
    <definedName function="false" hidden="false" name="sqft_s3" vbProcedure="false">Inputs!$C$43</definedName>
    <definedName function="false" hidden="false" name="stores_runrate" vbProcedure="false">Actuals!$N$10</definedName>
    <definedName function="false" hidden="false" name="visits" vbProcedure="false">Inputs!$C$46</definedName>
    <definedName function="false" hidden="false" name="waste_actual" vbProcedure="false">Actuals!$L$10</definedName>
    <definedName function="false" hidden="false" name="waste_pct" vbProcedure="false">Inputs!$C$12</definedName>
    <definedName function="false" hidden="false" name="waste_pct_base" vbProcedure="false">Inputs!$D$12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<sst xmlns="http://schemas.openxmlformats.org/spreadsheetml/2006/main" count="366" uniqueCount="289">
  <si>
    <t xml:space="preserve">Store planning model</t>
  </si>
  <si>
    <t xml:space="preserve">New store economics, a 3-year plan by channel, and pricing and promotion tests. Built on the Store Copilot demo data, which is synthetic.</t>
  </si>
  <si>
    <t xml:space="preserve">How to use</t>
  </si>
  <si>
    <t xml:space="preserve">1. Pick a scenario on the Inputs sheet, cell C4: Base, Upside or Downside.</t>
  </si>
  <si>
    <t xml:space="preserve">2. Change any blue number. Every black number is a formula and updates.</t>
  </si>
  <si>
    <t xml:space="preserve">3. On Pricing, pick a category and test a price change or a promotion.</t>
  </si>
  <si>
    <t xml:space="preserve">4. The Checks sheet works key numbers out a second way. It should say all checks pass.</t>
  </si>
  <si>
    <t xml:space="preserve">Blue: an input you can change</t>
  </si>
  <si>
    <t xml:space="preserve">Black: a formula</t>
  </si>
  <si>
    <t xml:space="preserve">Green: pulled from another sheet</t>
  </si>
  <si>
    <t xml:space="preserve">Yellow: the main selectors and levers</t>
  </si>
  <si>
    <t xml:space="preserve">Key numbers</t>
  </si>
  <si>
    <t xml:space="preserve">Scenario</t>
  </si>
  <si>
    <t xml:space="preserve">Checks</t>
  </si>
  <si>
    <t xml:space="preserve">3-year plan ($K)</t>
  </si>
  <si>
    <t xml:space="preserve">Today (run-rate)</t>
  </si>
  <si>
    <t xml:space="preserve">2027</t>
  </si>
  <si>
    <t xml:space="preserve">2028</t>
  </si>
  <si>
    <t xml:space="preserve">2029</t>
  </si>
  <si>
    <t xml:space="preserve">Revenue</t>
  </si>
  <si>
    <t xml:space="preserve">Company EBITDA</t>
  </si>
  <si>
    <t xml:space="preserve">EBITDA margin</t>
  </si>
  <si>
    <t xml:space="preserve">Stores open at year end</t>
  </si>
  <si>
    <t xml:space="preserve">Cash after new-store investment, cumulative</t>
  </si>
  <si>
    <t xml:space="preserve">One new store</t>
  </si>
  <si>
    <t xml:space="preserve">Total investment</t>
  </si>
  <si>
    <t xml:space="preserve">Mature annual sales</t>
  </si>
  <si>
    <t xml:space="preserve">Year 1 sales</t>
  </si>
  <si>
    <t xml:space="preserve">Year 3 store EBITDA</t>
  </si>
  <si>
    <t xml:space="preserve">Payback (months after opening)</t>
  </si>
  <si>
    <t xml:space="preserve">Year 3 cash-on-cash return</t>
  </si>
  <si>
    <t xml:space="preserve">Pricing tests</t>
  </si>
  <si>
    <t xml:space="preserve">What's data and what's assumed</t>
  </si>
  <si>
    <t xml:space="preserve">From the demo data (Actuals): sales, cost of goods, margins, waste, basket size, member activity.</t>
  </si>
  <si>
    <t xml:space="preserve">Assumed, with a note on Inputs: store sizes, labor, rent, build-out, catering, app orders, membership fees, head office.</t>
  </si>
  <si>
    <t xml:space="preserve">Plan years start in January; new stores open at the start of their year.</t>
  </si>
  <si>
    <t xml:space="preserve">Inputs</t>
  </si>
  <si>
    <t xml:space="preserve">Change the blue cells. Pick a scenario in C4; the Live column feeds every other sheet.</t>
  </si>
  <si>
    <t xml:space="preserve">Base</t>
  </si>
  <si>
    <t xml:space="preserve">Pick Base, Upside or Downside from the list.</t>
  </si>
  <si>
    <t xml:space="preserve">Assumption</t>
  </si>
  <si>
    <t xml:space="preserve">Unit</t>
  </si>
  <si>
    <t xml:space="preserve">Live</t>
  </si>
  <si>
    <t xml:space="preserve">Upside</t>
  </si>
  <si>
    <t xml:space="preserve">Downside</t>
  </si>
  <si>
    <t xml:space="preserve">Last 30 days</t>
  </si>
  <si>
    <t xml:space="preserve">Notes</t>
  </si>
  <si>
    <t xml:space="preserve">New store</t>
  </si>
  <si>
    <t xml:space="preserve">Sales per sq ft vs flagship</t>
  </si>
  <si>
    <t xml:space="preserve">% of flagship</t>
  </si>
  <si>
    <t xml:space="preserve">100% means the same sales per sq ft as the flagship.</t>
  </si>
  <si>
    <t xml:space="preserve">Month 1 sales</t>
  </si>
  <si>
    <t xml:space="preserve">% of mature</t>
  </si>
  <si>
    <t xml:space="preserve">Last 30 days column: Store 3's sales per sq ft in its first 19 days, vs the flagship.</t>
  </si>
  <si>
    <t xml:space="preserve">Months to reach mature sales</t>
  </si>
  <si>
    <t xml:space="preserve">months</t>
  </si>
  <si>
    <t xml:space="preserve">The demo data ramps a store in 30 days, which is fast. Real stores take 12 to 24 months.</t>
  </si>
  <si>
    <t xml:space="preserve">Gross margin change vs last 30 days</t>
  </si>
  <si>
    <t xml:space="preserve">points</t>
  </si>
  <si>
    <t xml:space="preserve">Added to each channel's actual margin. The Last 30 days column shows the blended actual.</t>
  </si>
  <si>
    <t xml:space="preserve">Waste</t>
  </si>
  <si>
    <t xml:space="preserve">% of store sales</t>
  </si>
  <si>
    <t xml:space="preserve">Base is the actual. The Perishables SOP aims to cut waste.</t>
  </si>
  <si>
    <t xml:space="preserve">Store labor</t>
  </si>
  <si>
    <t xml:space="preserve">% of sales</t>
  </si>
  <si>
    <t xml:space="preserve">Not in the data. The cafe and hot bar make this higher than a typical grocery store.</t>
  </si>
  <si>
    <t xml:space="preserve">Labor floor while ramping</t>
  </si>
  <si>
    <t xml:space="preserve">% of mature labor</t>
  </si>
  <si>
    <t xml:space="preserve">A new store can't cut staff in line with lower early sales.</t>
  </si>
  <si>
    <t xml:space="preserve">Rent</t>
  </si>
  <si>
    <t xml:space="preserve">$ per sq ft per year</t>
  </si>
  <si>
    <t xml:space="preserve">Not in the data. Assumption.</t>
  </si>
  <si>
    <t xml:space="preserve">Other operating costs</t>
  </si>
  <si>
    <t xml:space="preserve">Card fees, utilities, supplies, repairs, local marketing.</t>
  </si>
  <si>
    <t xml:space="preserve">Build-out</t>
  </si>
  <si>
    <t xml:space="preserve">$ per sq ft</t>
  </si>
  <si>
    <t xml:space="preserve">Construction, equipment, fixtures.</t>
  </si>
  <si>
    <t xml:space="preserve">Pre-opening costs</t>
  </si>
  <si>
    <t xml:space="preserve">$</t>
  </si>
  <si>
    <t xml:space="preserve">Hiring, training, launch marketing.</t>
  </si>
  <si>
    <t xml:space="preserve">Growth</t>
  </si>
  <si>
    <t xml:space="preserve">Grocery sales growth, existing stores</t>
  </si>
  <si>
    <t xml:space="preserve">% per year</t>
  </si>
  <si>
    <t xml:space="preserve">Cafe and hot bar growth, existing stores</t>
  </si>
  <si>
    <t xml:space="preserve">New stores opened in 2027</t>
  </si>
  <si>
    <t xml:space="preserve">stores</t>
  </si>
  <si>
    <t xml:space="preserve">Opened at the start of the year; each follows the New Store sheet.</t>
  </si>
  <si>
    <t xml:space="preserve">New stores opened in 2028</t>
  </si>
  <si>
    <t xml:space="preserve">New stores opened in 2029</t>
  </si>
  <si>
    <t xml:space="preserve">Catering sales in 2027</t>
  </si>
  <si>
    <t xml:space="preserve">New channel. Not in the data.</t>
  </si>
  <si>
    <t xml:space="preserve">Catering growth</t>
  </si>
  <si>
    <t xml:space="preserve">Catering contribution margin</t>
  </si>
  <si>
    <t xml:space="preserve">% after food and labor</t>
  </si>
  <si>
    <t xml:space="preserve">App orders: extra sales by 2029</t>
  </si>
  <si>
    <t xml:space="preserve">Only sales the app adds, not orders that move from the store to the app.</t>
  </si>
  <si>
    <t xml:space="preserve">App fulfillment cost</t>
  </si>
  <si>
    <t xml:space="preserve">% of app sales</t>
  </si>
  <si>
    <t xml:space="preserve">Picking, packing, delivery subsidy.</t>
  </si>
  <si>
    <t xml:space="preserve">Membership</t>
  </si>
  <si>
    <t xml:space="preserve">Member growth</t>
  </si>
  <si>
    <t xml:space="preserve">Members who pay a fee</t>
  </si>
  <si>
    <t xml:space="preserve">% of members</t>
  </si>
  <si>
    <t xml:space="preserve">Member perks cost</t>
  </si>
  <si>
    <t xml:space="preserve">% of fees</t>
  </si>
  <si>
    <t xml:space="preserve">Company</t>
  </si>
  <si>
    <t xml:space="preserve">Head office costs</t>
  </si>
  <si>
    <t xml:space="preserve">% of revenue</t>
  </si>
  <si>
    <t xml:space="preserve">Finance, buying, marketing, leadership. Not in the data.</t>
  </si>
  <si>
    <t xml:space="preserve">Same in every scenario</t>
  </si>
  <si>
    <t xml:space="preserve">Flagship size</t>
  </si>
  <si>
    <t xml:space="preserve">sq ft</t>
  </si>
  <si>
    <t xml:space="preserve">Store sizes are not in the data. Assumption.</t>
  </si>
  <si>
    <t xml:space="preserve">Store 2 size</t>
  </si>
  <si>
    <t xml:space="preserve">Store 3 size</t>
  </si>
  <si>
    <t xml:space="preserve">New store size</t>
  </si>
  <si>
    <t xml:space="preserve">Opening inventory</t>
  </si>
  <si>
    <t xml:space="preserve">Member visits per month</t>
  </si>
  <si>
    <t xml:space="preserve">visits</t>
  </si>
  <si>
    <t xml:space="preserve">Turns member transactions into a member count.</t>
  </si>
  <si>
    <t xml:space="preserve">Annual membership fee</t>
  </si>
  <si>
    <t xml:space="preserve">Set to 0 to model a free program.</t>
  </si>
  <si>
    <t xml:space="preserve">App ramp, 2027</t>
  </si>
  <si>
    <t xml:space="preserve">% of 2029 level</t>
  </si>
  <si>
    <t xml:space="preserve">App ramp, 2028</t>
  </si>
  <si>
    <t xml:space="preserve">App ramp, 2029</t>
  </si>
  <si>
    <t xml:space="preserve">Actuals</t>
  </si>
  <si>
    <t xml:space="preserve">Last 30 days of the demo data, 2026-08-30 to 2026-09-28. Synthetic. Pasted from store.db by planning/build_workbook.py. Blue = pasted value, black = formula.</t>
  </si>
  <si>
    <t xml:space="preserve">Days in window</t>
  </si>
  <si>
    <t xml:space="preserve">By store</t>
  </si>
  <si>
    <t xml:space="preserve">Store</t>
  </si>
  <si>
    <t xml:space="preserve">Days open</t>
  </si>
  <si>
    <t xml:space="preserve">Sales, item lines</t>
  </si>
  <si>
    <t xml:space="preserve">Sales, POS transactions</t>
  </si>
  <si>
    <t xml:space="preserve">Cost of goods</t>
  </si>
  <si>
    <t xml:space="preserve">Gross margin</t>
  </si>
  <si>
    <t xml:space="preserve">Transactions</t>
  </si>
  <si>
    <t xml:space="preserve">Member transactions</t>
  </si>
  <si>
    <t xml:space="preserve">Average basket</t>
  </si>
  <si>
    <t xml:space="preserve">Member share</t>
  </si>
  <si>
    <t xml:space="preserve">Waste cost</t>
  </si>
  <si>
    <t xml:space="preserve">Waste, % of sales</t>
  </si>
  <si>
    <t xml:space="preserve">Sales per open day</t>
  </si>
  <si>
    <t xml:space="preserve">Annual run-rate</t>
  </si>
  <si>
    <t xml:space="preserve">Flagship (Downtown)</t>
  </si>
  <si>
    <t xml:space="preserve">Store 2 (Coconut Grove, hypothetical)</t>
  </si>
  <si>
    <t xml:space="preserve">Store 3 (Miami Beach, hypothetical)</t>
  </si>
  <si>
    <t xml:space="preserve">Total</t>
  </si>
  <si>
    <t xml:space="preserve">Store 3 opened recently: 19 days in the window, so its run-rate understates a full year.</t>
  </si>
  <si>
    <t xml:space="preserve">By category</t>
  </si>
  <si>
    <t xml:space="preserve">Category</t>
  </si>
  <si>
    <t xml:space="preserve">Channel</t>
  </si>
  <si>
    <t xml:space="preserve">Sales</t>
  </si>
  <si>
    <t xml:space="preserve">Units</t>
  </si>
  <si>
    <t xml:space="preserve">Target margin</t>
  </si>
  <si>
    <t xml:space="preserve">Gap to target</t>
  </si>
  <si>
    <t xml:space="preserve">Average price</t>
  </si>
  <si>
    <t xml:space="preserve">Average unit cost</t>
  </si>
  <si>
    <t xml:space="preserve">Units per week</t>
  </si>
  <si>
    <t xml:space="preserve">Share of sales</t>
  </si>
  <si>
    <t xml:space="preserve">Produce</t>
  </si>
  <si>
    <t xml:space="preserve">Grocery</t>
  </si>
  <si>
    <t xml:space="preserve">Meat &amp; Seafood</t>
  </si>
  <si>
    <t xml:space="preserve">Dairy &amp; Eggs</t>
  </si>
  <si>
    <t xml:space="preserve">Pantry</t>
  </si>
  <si>
    <t xml:space="preserve">Snacks</t>
  </si>
  <si>
    <t xml:space="preserve">Beverages &amp; Juices</t>
  </si>
  <si>
    <t xml:space="preserve">Cafe &amp; Hot Bar</t>
  </si>
  <si>
    <t xml:space="preserve">Cafe &amp; hot bar</t>
  </si>
  <si>
    <t xml:space="preserve">Supplements</t>
  </si>
  <si>
    <t xml:space="preserve">Beauty &amp; Body</t>
  </si>
  <si>
    <t xml:space="preserve">Unmapped POS codes</t>
  </si>
  <si>
    <t xml:space="preserve">Unmapped POS codes are sales the POS can't tie to a product; counted as grocery.</t>
  </si>
  <si>
    <t xml:space="preserve">By channel</t>
  </si>
  <si>
    <t xml:space="preserve">Run-rate splits the stores' annual run-rate by each channel's share of sales.</t>
  </si>
  <si>
    <t xml:space="preserve">Drivers</t>
  </si>
  <si>
    <t xml:space="preserve">Store size (sq ft)</t>
  </si>
  <si>
    <t xml:space="preserve">Flagship sales, annual run-rate</t>
  </si>
  <si>
    <t xml:space="preserve">Flagship size (sq ft)</t>
  </si>
  <si>
    <t xml:space="preserve">Flagship sales per sq ft</t>
  </si>
  <si>
    <t xml:space="preserve">Results</t>
  </si>
  <si>
    <t xml:space="preserve">Sales per sq ft at maturity</t>
  </si>
  <si>
    <t xml:space="preserve">Store EBITDA margin at maturity</t>
  </si>
  <si>
    <t xml:space="preserve">By store year</t>
  </si>
  <si>
    <t xml:space="preserve">Gross profit</t>
  </si>
  <si>
    <t xml:space="preserve">Labor</t>
  </si>
  <si>
    <t xml:space="preserve">Store EBITDA (4-wall)</t>
  </si>
  <si>
    <t xml:space="preserve">Store EBITDA margin</t>
  </si>
  <si>
    <t xml:space="preserve">Cumulative cash at year end</t>
  </si>
  <si>
    <t xml:space="preserve">Sensitivity: store EBITDA in a mature year</t>
  </si>
  <si>
    <t xml:space="preserve">Rows move sales per sq ft, columns move gross margin, around the live scenario (center).</t>
  </si>
  <si>
    <t xml:space="preserve">Sales per sq ft vs flagship  /  gross margin</t>
  </si>
  <si>
    <t xml:space="preserve">Month by month</t>
  </si>
  <si>
    <t xml:space="preserve">Month</t>
  </si>
  <si>
    <t xml:space="preserve">Store year</t>
  </si>
  <si>
    <t xml:space="preserve">Sales ramp, % of mature</t>
  </si>
  <si>
    <t xml:space="preserve">Opening investment</t>
  </si>
  <si>
    <t xml:space="preserve">Cash flow</t>
  </si>
  <si>
    <t xml:space="preserve">Cumulative cash</t>
  </si>
  <si>
    <t xml:space="preserve">Paid back (month)</t>
  </si>
  <si>
    <t xml:space="preserve">3-Year Plan</t>
  </si>
  <si>
    <t xml:space="preserve">All amounts in $K.</t>
  </si>
  <si>
    <t xml:space="preserve">New stores opened</t>
  </si>
  <si>
    <t xml:space="preserve">Selling space (sq ft)</t>
  </si>
  <si>
    <t xml:space="preserve">App ramp, share of 2029 level</t>
  </si>
  <si>
    <t xml:space="preserve">Active members (estimate)</t>
  </si>
  <si>
    <t xml:space="preserve">Today: member transactions in the last 30 days divided by visits per member per month.</t>
  </si>
  <si>
    <t xml:space="preserve">Paying members</t>
  </si>
  <si>
    <t xml:space="preserve">Assumes no paid tier today.</t>
  </si>
  <si>
    <t xml:space="preserve">Grocery, existing stores</t>
  </si>
  <si>
    <t xml:space="preserve">Cafe and hot bar, existing stores</t>
  </si>
  <si>
    <t xml:space="preserve">Existing stores include Store 3, which is still ramping, so this is conservative.</t>
  </si>
  <si>
    <t xml:space="preserve">New stores</t>
  </si>
  <si>
    <t xml:space="preserve">Each year adds that year's openings at year-1 sales and earlier openings at their later-year sales.</t>
  </si>
  <si>
    <t xml:space="preserve">Catering</t>
  </si>
  <si>
    <t xml:space="preserve">Not in the data yet.</t>
  </si>
  <si>
    <t xml:space="preserve">App orders (extra sales)</t>
  </si>
  <si>
    <t xml:space="preserve">Membership fees</t>
  </si>
  <si>
    <t xml:space="preserve">Total revenue</t>
  </si>
  <si>
    <t xml:space="preserve">Profit</t>
  </si>
  <si>
    <t xml:space="preserve">Existing stores: gross profit</t>
  </si>
  <si>
    <t xml:space="preserve">Today uses actual margins; later years add the margin change from Inputs.</t>
  </si>
  <si>
    <t xml:space="preserve">Existing stores: waste</t>
  </si>
  <si>
    <t xml:space="preserve">Existing stores: labor</t>
  </si>
  <si>
    <t xml:space="preserve">Labor, rent and other costs aren't in the data. Today uses the Base assumptions in every scenario.</t>
  </si>
  <si>
    <t xml:space="preserve">Existing stores: rent</t>
  </si>
  <si>
    <t xml:space="preserve">Existing stores: other operating costs</t>
  </si>
  <si>
    <t xml:space="preserve">Existing stores: EBITDA (4-wall)</t>
  </si>
  <si>
    <t xml:space="preserve">New stores: EBITDA (4-wall)</t>
  </si>
  <si>
    <t xml:space="preserve">Catering contribution</t>
  </si>
  <si>
    <t xml:space="preserve">App orders contribution</t>
  </si>
  <si>
    <t xml:space="preserve">Membership, net of perks</t>
  </si>
  <si>
    <t xml:space="preserve">Cash</t>
  </si>
  <si>
    <t xml:space="preserve">New store investment</t>
  </si>
  <si>
    <t xml:space="preserve">Cash after investment</t>
  </si>
  <si>
    <t xml:space="preserve">Cumulative, from 2027</t>
  </si>
  <si>
    <t xml:space="preserve">Pricing</t>
  </si>
  <si>
    <t xml:space="preserve">Test a price change or a promotion on one category, using its last-30-day price, cost and volume.</t>
  </si>
  <si>
    <t xml:space="preserve">Pick a category from the list.</t>
  </si>
  <si>
    <t xml:space="preserve">Price change</t>
  </si>
  <si>
    <t xml:space="preserve">Average shelf price</t>
  </si>
  <si>
    <t xml:space="preserve">Units per week, all stores</t>
  </si>
  <si>
    <t xml:space="preserve">Gross margin now</t>
  </si>
  <si>
    <t xml:space="preserve">From the Pricing and Margin Policy.</t>
  </si>
  <si>
    <t xml:space="preserve">Price elasticity</t>
  </si>
  <si>
    <t xml:space="preserve">-1.2 means a 1% price rise loses 1.2% of units. Not measured in the demo data; grocery is often -0.5 to -2.5.</t>
  </si>
  <si>
    <t xml:space="preserve">New price</t>
  </si>
  <si>
    <t xml:space="preserve">Units per week after</t>
  </si>
  <si>
    <t xml:space="preserve">Gross profit per week, now</t>
  </si>
  <si>
    <t xml:space="preserve">Gross profit per week, after</t>
  </si>
  <si>
    <t xml:space="preserve">Change in gross profit per year</t>
  </si>
  <si>
    <t xml:space="preserve">New gross margin</t>
  </si>
  <si>
    <t xml:space="preserve">Break-even change in units</t>
  </si>
  <si>
    <t xml:space="preserve">The unit change that leaves gross profit flat. Compare it with the expected change.</t>
  </si>
  <si>
    <t xml:space="preserve">Change in gross profit per year: price change (rows) by elasticity (columns)</t>
  </si>
  <si>
    <t xml:space="preserve">Promotion</t>
  </si>
  <si>
    <t xml:space="preserve">Discount</t>
  </si>
  <si>
    <t xml:space="preserve">Promotion length (weeks)</t>
  </si>
  <si>
    <t xml:space="preserve">Expected unit lift</t>
  </si>
  <si>
    <t xml:space="preserve">Extra units during the promotion vs a normal week.</t>
  </si>
  <si>
    <t xml:space="preserve">Share of the discount the vendor pays</t>
  </si>
  <si>
    <t xml:space="preserve">Promotion price</t>
  </si>
  <si>
    <t xml:space="preserve">Our margin per unit during the promotion</t>
  </si>
  <si>
    <t xml:space="preserve">Units per week during the promotion</t>
  </si>
  <si>
    <t xml:space="preserve">Extra gross profit from the promotion</t>
  </si>
  <si>
    <t xml:space="preserve">Break-even unit lift</t>
  </si>
  <si>
    <t xml:space="preserve">The lift the promotion needs to pay for itself.</t>
  </si>
  <si>
    <t xml:space="preserve">Markdown policy (Pricing and Margin Policy)</t>
  </si>
  <si>
    <t xml:space="preserve">Extra gross profit from the promotion: discount (rows) by unit lift (columns)</t>
  </si>
  <si>
    <t xml:space="preserve">Each check works a number out a second way. All should say OK.</t>
  </si>
  <si>
    <t xml:space="preserve">Check</t>
  </si>
  <si>
    <t xml:space="preserve">Value</t>
  </si>
  <si>
    <t xml:space="preserve">Worked out again</t>
  </si>
  <si>
    <t xml:space="preserve">Difference</t>
  </si>
  <si>
    <t xml:space="preserve">Status</t>
  </si>
  <si>
    <t xml:space="preserve">Sales: item lines tie to POS transactions</t>
  </si>
  <si>
    <t xml:space="preserve">Sales: categories tie to stores</t>
  </si>
  <si>
    <t xml:space="preserve">Cost of goods: categories tie to stores</t>
  </si>
  <si>
    <t xml:space="preserve">Channels add up to total sales</t>
  </si>
  <si>
    <t xml:space="preserve">New store: 60 months tie to the 5 yearly totals (EBITDA)</t>
  </si>
  <si>
    <t xml:space="preserve">New store: sales reach 100% by the ramp month</t>
  </si>
  <si>
    <t xml:space="preserve">Plan: 2029 new-store sales from the monthly model</t>
  </si>
  <si>
    <t xml:space="preserve">Plan: cumulative cash equals the sum of yearly cash</t>
  </si>
  <si>
    <t xml:space="preserve">Plan: revenue lines add up to total revenue (2029)</t>
  </si>
  <si>
    <t xml:space="preserve">Pricing: a 0% price change changes nothing</t>
  </si>
  <si>
    <t xml:space="preserve">Inputs: scenario name is valid</t>
  </si>
  <si>
    <t xml:space="preserve">Inputs: ramp and labor floor are within 0% to 100%</t>
  </si>
  <si>
    <t xml:space="preserve">Pricing: the category is in the Actuals list</t>
  </si>
  <si>
    <t xml:space="preserve">Result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</si>
</sst>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,\K;[RED]&quot;($&quot;#,##0,&quot;K)&quot;;\-"/>
    <numFmt numFmtId="166" formatCode="0.0%;[RED]\(0.0%\);\-"/>
    <numFmt numFmtId="167" formatCode="#,##0;[RED]\(#,##0\);\-"/>
    <numFmt numFmtId="168" formatCode="\$#,##0;[RED]&quot;($&quot;#,##0\);\-"/>
    <numFmt numFmtId="169" formatCode="0%;[RED]\(0%\);\-"/>
    <numFmt numFmtId="170" formatCode="\+0.0%;[RED]\-0.0%;0.0%"/>
    <numFmt numFmtId="171" formatCode="\$#,##0.00;[RED]&quot;($&quot;#,##0.00\);\-"/>
    <numFmt numFmtId="172" formatCode="&quot;Year &quot;0"/>
    <numFmt numFmtId="173" formatCode="0"/>
    <numFmt numFmtId="174" formatCode="0.0"/>
    <numFmt numFmtId="175" formatCode="\+0%;\-0%;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E45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E45"/>
        <bgColor rgb="FF2E845A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E845A"/>
      </font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2E845A"/>
      <rgbColor rgb="FF003300"/>
      <rgbColor rgb="FF333300"/>
      <rgbColor rgb="FFC0392B"/>
      <rgbColor rgb="FF993366"/>
      <rgbColor rgb="FF333399"/>
      <rgbColor rgb="FF2E5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5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8" t="s">
        <v>10</v>
      </c>
    </row>
    <row r="15" customFormat="false" ht="15" hidden="false" customHeight="fals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false" outlineLevel="0" collapsed="false">
      <c r="A16" s="9" t="s">
        <v>12</v>
      </c>
      <c r="B16" s="10" t="str">
        <f aca="false">scenario</f>
        <v>Base</v>
      </c>
      <c r="C16" s="11" t="s">
        <v>13</v>
      </c>
      <c r="D16" s="12" t="str">
        <f aca="false">checks_status</f>
        <v>All 13 checks pass</v>
      </c>
      <c r="E16" s="12"/>
    </row>
    <row r="18" customFormat="false" ht="15" hidden="false" customHeight="false" outlineLevel="0" collapsed="false">
      <c r="A18" s="13" t="s">
        <v>14</v>
      </c>
      <c r="B18" s="14" t="s">
        <v>15</v>
      </c>
      <c r="C18" s="14" t="s">
        <v>16</v>
      </c>
      <c r="D18" s="14" t="s">
        <v>17</v>
      </c>
      <c r="E18" s="14" t="s">
        <v>18</v>
      </c>
    </row>
    <row r="19" customFormat="false" ht="15" hidden="false" customHeight="false" outlineLevel="0" collapsed="false">
      <c r="A19" s="5" t="s">
        <v>19</v>
      </c>
      <c r="B19" s="15" t="n">
        <f aca="false">'3-Year Plan'!B20</f>
        <v>19201786.6341228</v>
      </c>
      <c r="C19" s="15" t="n">
        <f aca="false">'3-Year Plan'!C20</f>
        <v>25505722.3949746</v>
      </c>
      <c r="D19" s="15" t="n">
        <f aca="false">'3-Year Plan'!D20</f>
        <v>33382838.8553996</v>
      </c>
      <c r="E19" s="15" t="n">
        <f aca="false">'3-Year Plan'!E20</f>
        <v>41744429.6476742</v>
      </c>
    </row>
    <row r="20" customFormat="false" ht="15" hidden="false" customHeight="false" outlineLevel="0" collapsed="false">
      <c r="A20" s="5" t="s">
        <v>20</v>
      </c>
      <c r="B20" s="15" t="n">
        <f aca="false">'3-Year Plan'!B35</f>
        <v>1071094.76108022</v>
      </c>
      <c r="C20" s="15" t="n">
        <f aca="false">'3-Year Plan'!C35</f>
        <v>1461851.81861527</v>
      </c>
      <c r="D20" s="15" t="n">
        <f aca="false">'3-Year Plan'!D35</f>
        <v>2230945.63392834</v>
      </c>
      <c r="E20" s="15" t="n">
        <f aca="false">'3-Year Plan'!E35</f>
        <v>3110336.01889644</v>
      </c>
    </row>
    <row r="21" customFormat="false" ht="15" hidden="false" customHeight="false" outlineLevel="0" collapsed="false">
      <c r="A21" s="5" t="s">
        <v>21</v>
      </c>
      <c r="B21" s="16" t="n">
        <f aca="false">'3-Year Plan'!B36</f>
        <v>0.0557809948360127</v>
      </c>
      <c r="C21" s="16" t="n">
        <f aca="false">'3-Year Plan'!C36</f>
        <v>0.0573146604506016</v>
      </c>
      <c r="D21" s="16" t="n">
        <f aca="false">'3-Year Plan'!D36</f>
        <v>0.0668291167084938</v>
      </c>
      <c r="E21" s="16" t="n">
        <f aca="false">'3-Year Plan'!E36</f>
        <v>0.0745090074327971</v>
      </c>
    </row>
    <row r="22" customFormat="false" ht="15" hidden="false" customHeight="false" outlineLevel="0" collapsed="false">
      <c r="A22" s="5" t="s">
        <v>22</v>
      </c>
      <c r="B22" s="17" t="n">
        <f aca="false">'3-Year Plan'!B7</f>
        <v>3</v>
      </c>
      <c r="C22" s="17" t="n">
        <f aca="false">'3-Year Plan'!C7</f>
        <v>4</v>
      </c>
      <c r="D22" s="17" t="n">
        <f aca="false">'3-Year Plan'!D7</f>
        <v>5</v>
      </c>
      <c r="E22" s="17" t="n">
        <f aca="false">'3-Year Plan'!E7</f>
        <v>6</v>
      </c>
    </row>
    <row r="23" customFormat="false" ht="15" hidden="false" customHeight="false" outlineLevel="0" collapsed="false">
      <c r="A23" s="5" t="s">
        <v>23</v>
      </c>
      <c r="C23" s="15" t="n">
        <f aca="false">'3-Year Plan'!C41</f>
        <v>-888148.181384726</v>
      </c>
      <c r="D23" s="15" t="n">
        <f aca="false">'3-Year Plan'!D41</f>
        <v>-1007202.54745638</v>
      </c>
      <c r="E23" s="15" t="n">
        <f aca="false">'3-Year Plan'!E41</f>
        <v>-246866.528559949</v>
      </c>
    </row>
    <row r="25" customFormat="false" ht="15" hidden="false" customHeight="false" outlineLevel="0" collapsed="false">
      <c r="A25" s="13" t="s">
        <v>24</v>
      </c>
      <c r="B25" s="14"/>
      <c r="C25" s="14"/>
      <c r="D25" s="14"/>
      <c r="E25" s="14"/>
    </row>
    <row r="26" customFormat="false" ht="15" hidden="false" customHeight="false" outlineLevel="0" collapsed="false">
      <c r="A26" s="5" t="s">
        <v>25</v>
      </c>
      <c r="B26" s="18" t="n">
        <f aca="false">ns_invest</f>
        <v>2350000</v>
      </c>
    </row>
    <row r="27" customFormat="false" ht="15" hidden="false" customHeight="false" outlineLevel="0" collapsed="false">
      <c r="A27" s="5" t="s">
        <v>26</v>
      </c>
      <c r="B27" s="18" t="n">
        <f aca="false">ns_mature_sales</f>
        <v>6331186.17777778</v>
      </c>
    </row>
    <row r="28" customFormat="false" ht="15" hidden="false" customHeight="false" outlineLevel="0" collapsed="false">
      <c r="A28" s="5" t="s">
        <v>27</v>
      </c>
      <c r="B28" s="18" t="n">
        <f aca="false">'New Store'!B26</f>
        <v>4618041.68261438</v>
      </c>
    </row>
    <row r="29" customFormat="false" ht="15" hidden="false" customHeight="false" outlineLevel="0" collapsed="false">
      <c r="A29" s="5" t="s">
        <v>28</v>
      </c>
      <c r="B29" s="18" t="n">
        <f aca="false">ns_y3_ebitda</f>
        <v>722498.696580651</v>
      </c>
    </row>
    <row r="30" customFormat="false" ht="15" hidden="false" customHeight="false" outlineLevel="0" collapsed="false">
      <c r="A30" s="5" t="s">
        <v>29</v>
      </c>
      <c r="B30" s="19" t="n">
        <f aca="false">ns_payback</f>
        <v>48</v>
      </c>
    </row>
    <row r="31" customFormat="false" ht="15" hidden="false" customHeight="false" outlineLevel="0" collapsed="false">
      <c r="A31" s="5" t="s">
        <v>30</v>
      </c>
      <c r="B31" s="20" t="n">
        <f aca="false">ns_coc</f>
        <v>0.307446253864107</v>
      </c>
    </row>
    <row r="33" customFormat="false" ht="15" hidden="false" customHeight="false" outlineLevel="0" collapsed="false">
      <c r="A33" s="13" t="s">
        <v>31</v>
      </c>
      <c r="B33" s="14"/>
      <c r="C33" s="14"/>
      <c r="D33" s="14"/>
      <c r="E33" s="14"/>
    </row>
    <row r="34" customFormat="false" ht="15" hidden="false" customHeight="false" outlineLevel="0" collapsed="false">
      <c r="A34" s="5" t="str">
        <f aca="false">"Changing "&amp;category&amp;" prices by "&amp;TEXT(Pricing!B13,"+0%;-0%")&amp;" changes gross profit by "&amp;TEXT(Pricing!B19,"$#,##0;-$#,##0")&amp;" a year (elasticity "&amp;TEXT(Pricing!B14,"0.0")&amp;")."</f>
        <v>Changing Meat &amp; Seafood prices by +3% changes gross profit by $40,496 a year (elasticity -1.2).</v>
      </c>
    </row>
    <row r="35" customFormat="false" ht="15" hidden="false" customHeight="false" outlineLevel="0" collapsed="false">
      <c r="A35" s="5" t="str">
        <f aca="false">IF(ISNUMBER(Pricing!B42),"A "&amp;TEXT(Pricing!B34,"0%")&amp;" promotion on "&amp;category&amp;" needs "&amp;TEXT(Pricing!B42,"0%")&amp;" more units to pay for itself. Expected: "&amp;TEXT(Pricing!B36,"0%")&amp;".","A "&amp;TEXT(Pricing!B34,"0%")&amp;" promotion on "&amp;category&amp;" sells below cost.")</f>
        <v>A 20% promotion on Meat &amp; Seafood needs 71% more units to pay for itself. Expected: 50%.</v>
      </c>
    </row>
    <row r="37" customFormat="false" ht="15" hidden="false" customHeight="false" outlineLevel="0" collapsed="false">
      <c r="A37" s="3" t="s">
        <v>32</v>
      </c>
      <c r="B37" s="4"/>
      <c r="C37" s="4"/>
      <c r="D37" s="4"/>
      <c r="E37" s="4"/>
    </row>
    <row r="38" customFormat="false" ht="15" hidden="false" customHeight="false" outlineLevel="0" collapsed="false">
      <c r="A38" s="5" t="s">
        <v>33</v>
      </c>
    </row>
    <row r="39" customFormat="false" ht="15" hidden="false" customHeight="false" outlineLevel="0" collapsed="false">
      <c r="A39" s="5" t="s">
        <v>34</v>
      </c>
    </row>
    <row r="40" customFormat="false" ht="15" hidden="false" customHeight="false" outlineLevel="0" collapsed="false">
      <c r="A40" s="5" t="s">
        <v>35</v>
      </c>
    </row>
  </sheetData>
  <mergeCells count="1">
    <mergeCell ref="D16:E16"/>
  </mergeCells>
  <conditionalFormatting sqref="D16">
    <cfRule type="expression" priority="2" aboveAverage="0" equalAverage="0" bottom="0" percent="0" rank="0" text="" dxfId="0">
      <formula>LEFT($D$16,3)="All"</formula>
    </cfRule>
    <cfRule type="expression" priority="3" aboveAverage="0" equalAverage="0" bottom="0" percent="0" rank="0" text="" dxfId="1">
      <formula>LEFT($D$16,3)&lt;&gt;"All"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6" min="3" style="0" width="11"/>
    <col collapsed="false" customWidth="true" hidden="false" outlineLevel="0" max="7" min="7" style="0" width="12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9" t="s">
        <v>12</v>
      </c>
      <c r="C4" s="21" t="s">
        <v>38</v>
      </c>
      <c r="D4" s="22" t="s">
        <v>39</v>
      </c>
    </row>
    <row r="6" customFormat="false" ht="15" hidden="false" customHeight="false" outlineLevel="0" collapsed="false">
      <c r="A6" s="13" t="s">
        <v>40</v>
      </c>
      <c r="B6" s="13" t="s">
        <v>41</v>
      </c>
      <c r="C6" s="14" t="s">
        <v>42</v>
      </c>
      <c r="D6" s="14" t="s">
        <v>38</v>
      </c>
      <c r="E6" s="14" t="s">
        <v>43</v>
      </c>
      <c r="F6" s="14" t="s">
        <v>44</v>
      </c>
      <c r="G6" s="14" t="s">
        <v>45</v>
      </c>
      <c r="H6" s="23" t="s">
        <v>46</v>
      </c>
    </row>
    <row r="7" customFormat="false" ht="15" hidden="false" customHeight="false" outlineLevel="0" collapsed="false">
      <c r="A7" s="3" t="s">
        <v>47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5" t="s">
        <v>48</v>
      </c>
      <c r="B8" s="22" t="s">
        <v>49</v>
      </c>
      <c r="C8" s="24" t="n">
        <f aca="false">INDEX(D8:F8,MATCH(scenario,$D$6:$F$6,0))</f>
        <v>1</v>
      </c>
      <c r="D8" s="25" t="n">
        <v>1</v>
      </c>
      <c r="E8" s="25" t="n">
        <v>1.1</v>
      </c>
      <c r="F8" s="25" t="n">
        <v>0.85</v>
      </c>
      <c r="H8" s="22" t="s">
        <v>50</v>
      </c>
    </row>
    <row r="9" customFormat="false" ht="15" hidden="false" customHeight="false" outlineLevel="0" collapsed="false">
      <c r="A9" s="5" t="s">
        <v>51</v>
      </c>
      <c r="B9" s="22" t="s">
        <v>52</v>
      </c>
      <c r="C9" s="24" t="n">
        <f aca="false">INDEX(D9:F9,MATCH(scenario,$D$6:$F$6,0))</f>
        <v>0.6</v>
      </c>
      <c r="D9" s="25" t="n">
        <v>0.6</v>
      </c>
      <c r="E9" s="25" t="n">
        <v>0.7</v>
      </c>
      <c r="F9" s="25" t="n">
        <v>0.5</v>
      </c>
      <c r="G9" s="16" t="n">
        <f aca="false">IF(s1_per_day=0,0,(s3_per_day/sqft_s3)/(s1_per_day/sqft_s1))</f>
        <v>0.607548402810125</v>
      </c>
      <c r="H9" s="22" t="s">
        <v>53</v>
      </c>
    </row>
    <row r="10" customFormat="false" ht="15" hidden="false" customHeight="false" outlineLevel="0" collapsed="false">
      <c r="A10" s="5" t="s">
        <v>54</v>
      </c>
      <c r="B10" s="22" t="s">
        <v>55</v>
      </c>
      <c r="C10" s="26" t="n">
        <f aca="false">INDEX(D10:F10,MATCH(scenario,$D$6:$F$6,0))</f>
        <v>18</v>
      </c>
      <c r="D10" s="27" t="n">
        <v>18</v>
      </c>
      <c r="E10" s="27" t="n">
        <v>12</v>
      </c>
      <c r="F10" s="27" t="n">
        <v>24</v>
      </c>
      <c r="H10" s="22" t="s">
        <v>56</v>
      </c>
    </row>
    <row r="11" customFormat="false" ht="15" hidden="false" customHeight="false" outlineLevel="0" collapsed="false">
      <c r="A11" s="5" t="s">
        <v>57</v>
      </c>
      <c r="B11" s="22" t="s">
        <v>58</v>
      </c>
      <c r="C11" s="28" t="n">
        <f aca="false">INDEX(D11:F11,MATCH(scenario,$D$6:$F$6,0))</f>
        <v>0</v>
      </c>
      <c r="D11" s="29" t="n">
        <v>0</v>
      </c>
      <c r="E11" s="29" t="n">
        <v>0.01</v>
      </c>
      <c r="F11" s="29" t="n">
        <v>-0.015</v>
      </c>
      <c r="G11" s="16" t="n">
        <f aca="false">gm_actual</f>
        <v>0.478932607068384</v>
      </c>
      <c r="H11" s="22" t="s">
        <v>59</v>
      </c>
    </row>
    <row r="12" customFormat="false" ht="15" hidden="false" customHeight="false" outlineLevel="0" collapsed="false">
      <c r="A12" s="5" t="s">
        <v>60</v>
      </c>
      <c r="B12" s="22" t="s">
        <v>61</v>
      </c>
      <c r="C12" s="30" t="n">
        <f aca="false">INDEX(D12:F12,MATCH(scenario,$D$6:$F$6,0))</f>
        <v>0.019</v>
      </c>
      <c r="D12" s="16" t="n">
        <f aca="false">ROUND(waste_actual,3)</f>
        <v>0.019</v>
      </c>
      <c r="E12" s="31" t="n">
        <v>0.016</v>
      </c>
      <c r="F12" s="31" t="n">
        <v>0.025</v>
      </c>
      <c r="G12" s="16" t="n">
        <f aca="false">waste_actual</f>
        <v>0.0187844629213196</v>
      </c>
      <c r="H12" s="22" t="s">
        <v>62</v>
      </c>
    </row>
    <row r="13" customFormat="false" ht="15" hidden="false" customHeight="false" outlineLevel="0" collapsed="false">
      <c r="A13" s="5" t="s">
        <v>63</v>
      </c>
      <c r="B13" s="22" t="s">
        <v>64</v>
      </c>
      <c r="C13" s="30" t="n">
        <f aca="false">INDEX(D13:F13,MATCH(scenario,$D$6:$F$6,0))</f>
        <v>0.19</v>
      </c>
      <c r="D13" s="31" t="n">
        <v>0.19</v>
      </c>
      <c r="E13" s="31" t="n">
        <v>0.18</v>
      </c>
      <c r="F13" s="31" t="n">
        <v>0.21</v>
      </c>
      <c r="H13" s="22" t="s">
        <v>65</v>
      </c>
    </row>
    <row r="14" customFormat="false" ht="15" hidden="false" customHeight="false" outlineLevel="0" collapsed="false">
      <c r="A14" s="5" t="s">
        <v>66</v>
      </c>
      <c r="B14" s="22" t="s">
        <v>67</v>
      </c>
      <c r="C14" s="24" t="n">
        <f aca="false">INDEX(D14:F14,MATCH(scenario,$D$6:$F$6,0))</f>
        <v>0.85</v>
      </c>
      <c r="D14" s="25" t="n">
        <v>0.85</v>
      </c>
      <c r="E14" s="25" t="n">
        <v>0.8</v>
      </c>
      <c r="F14" s="25" t="n">
        <v>0.9</v>
      </c>
      <c r="H14" s="22" t="s">
        <v>68</v>
      </c>
    </row>
    <row r="15" customFormat="false" ht="15" hidden="false" customHeight="false" outlineLevel="0" collapsed="false">
      <c r="A15" s="5" t="s">
        <v>69</v>
      </c>
      <c r="B15" s="22" t="s">
        <v>70</v>
      </c>
      <c r="C15" s="32" t="n">
        <f aca="false">INDEX(D15:F15,MATCH(scenario,$D$6:$F$6,0))</f>
        <v>60</v>
      </c>
      <c r="D15" s="33" t="n">
        <v>60</v>
      </c>
      <c r="E15" s="33" t="n">
        <v>55</v>
      </c>
      <c r="F15" s="33" t="n">
        <v>70</v>
      </c>
      <c r="H15" s="22" t="s">
        <v>71</v>
      </c>
    </row>
    <row r="16" customFormat="false" ht="15" hidden="false" customHeight="false" outlineLevel="0" collapsed="false">
      <c r="A16" s="5" t="s">
        <v>72</v>
      </c>
      <c r="B16" s="22" t="s">
        <v>64</v>
      </c>
      <c r="C16" s="30" t="n">
        <f aca="false">INDEX(D16:F16,MATCH(scenario,$D$6:$F$6,0))</f>
        <v>0.08</v>
      </c>
      <c r="D16" s="31" t="n">
        <v>0.08</v>
      </c>
      <c r="E16" s="31" t="n">
        <v>0.075</v>
      </c>
      <c r="F16" s="31" t="n">
        <v>0.09</v>
      </c>
      <c r="H16" s="22" t="s">
        <v>73</v>
      </c>
    </row>
    <row r="17" customFormat="false" ht="15" hidden="false" customHeight="false" outlineLevel="0" collapsed="false">
      <c r="A17" s="5" t="s">
        <v>74</v>
      </c>
      <c r="B17" s="22" t="s">
        <v>75</v>
      </c>
      <c r="C17" s="32" t="n">
        <f aca="false">INDEX(D17:F17,MATCH(scenario,$D$6:$F$6,0))</f>
        <v>250</v>
      </c>
      <c r="D17" s="33" t="n">
        <v>250</v>
      </c>
      <c r="E17" s="33" t="n">
        <v>225</v>
      </c>
      <c r="F17" s="33" t="n">
        <v>300</v>
      </c>
      <c r="H17" s="22" t="s">
        <v>76</v>
      </c>
    </row>
    <row r="18" customFormat="false" ht="15" hidden="false" customHeight="false" outlineLevel="0" collapsed="false">
      <c r="A18" s="5" t="s">
        <v>77</v>
      </c>
      <c r="B18" s="22" t="s">
        <v>78</v>
      </c>
      <c r="C18" s="32" t="n">
        <f aca="false">INDEX(D18:F18,MATCH(scenario,$D$6:$F$6,0))</f>
        <v>150000</v>
      </c>
      <c r="D18" s="33" t="n">
        <v>150000</v>
      </c>
      <c r="E18" s="33" t="n">
        <v>125000</v>
      </c>
      <c r="F18" s="33" t="n">
        <v>200000</v>
      </c>
      <c r="H18" s="22" t="s">
        <v>79</v>
      </c>
    </row>
    <row r="20" customFormat="false" ht="15" hidden="false" customHeight="false" outlineLevel="0" collapsed="false">
      <c r="A20" s="3" t="s">
        <v>80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5" t="s">
        <v>81</v>
      </c>
      <c r="B21" s="22" t="s">
        <v>82</v>
      </c>
      <c r="C21" s="30" t="n">
        <f aca="false">INDEX(D21:F21,MATCH(scenario,$D$6:$F$6,0))</f>
        <v>0.04</v>
      </c>
      <c r="D21" s="31" t="n">
        <v>0.04</v>
      </c>
      <c r="E21" s="31" t="n">
        <v>0.07</v>
      </c>
      <c r="F21" s="31" t="n">
        <v>0.01</v>
      </c>
    </row>
    <row r="22" customFormat="false" ht="15" hidden="false" customHeight="false" outlineLevel="0" collapsed="false">
      <c r="A22" s="5" t="s">
        <v>83</v>
      </c>
      <c r="B22" s="22" t="s">
        <v>82</v>
      </c>
      <c r="C22" s="30" t="n">
        <f aca="false">INDEX(D22:F22,MATCH(scenario,$D$6:$F$6,0))</f>
        <v>0.08</v>
      </c>
      <c r="D22" s="31" t="n">
        <v>0.08</v>
      </c>
      <c r="E22" s="31" t="n">
        <v>0.12</v>
      </c>
      <c r="F22" s="31" t="n">
        <v>0.03</v>
      </c>
    </row>
    <row r="23" customFormat="false" ht="15" hidden="false" customHeight="false" outlineLevel="0" collapsed="false">
      <c r="A23" s="5" t="s">
        <v>84</v>
      </c>
      <c r="B23" s="22" t="s">
        <v>85</v>
      </c>
      <c r="C23" s="26" t="n">
        <f aca="false">INDEX(D23:F23,MATCH(scenario,$D$6:$F$6,0))</f>
        <v>1</v>
      </c>
      <c r="D23" s="27" t="n">
        <v>1</v>
      </c>
      <c r="E23" s="27" t="n">
        <v>1</v>
      </c>
      <c r="F23" s="27" t="n">
        <v>0</v>
      </c>
      <c r="H23" s="22" t="s">
        <v>86</v>
      </c>
    </row>
    <row r="24" customFormat="false" ht="15" hidden="false" customHeight="false" outlineLevel="0" collapsed="false">
      <c r="A24" s="5" t="s">
        <v>87</v>
      </c>
      <c r="B24" s="22" t="s">
        <v>85</v>
      </c>
      <c r="C24" s="26" t="n">
        <f aca="false">INDEX(D24:F24,MATCH(scenario,$D$6:$F$6,0))</f>
        <v>1</v>
      </c>
      <c r="D24" s="27" t="n">
        <v>1</v>
      </c>
      <c r="E24" s="27" t="n">
        <v>2</v>
      </c>
      <c r="F24" s="27" t="n">
        <v>1</v>
      </c>
    </row>
    <row r="25" customFormat="false" ht="15" hidden="false" customHeight="false" outlineLevel="0" collapsed="false">
      <c r="A25" s="5" t="s">
        <v>88</v>
      </c>
      <c r="B25" s="22" t="s">
        <v>85</v>
      </c>
      <c r="C25" s="26" t="n">
        <f aca="false">INDEX(D25:F25,MATCH(scenario,$D$6:$F$6,0))</f>
        <v>1</v>
      </c>
      <c r="D25" s="27" t="n">
        <v>1</v>
      </c>
      <c r="E25" s="27" t="n">
        <v>2</v>
      </c>
      <c r="F25" s="27" t="n">
        <v>0</v>
      </c>
    </row>
    <row r="26" customFormat="false" ht="15" hidden="false" customHeight="false" outlineLevel="0" collapsed="false">
      <c r="A26" s="5" t="s">
        <v>89</v>
      </c>
      <c r="B26" s="22" t="s">
        <v>78</v>
      </c>
      <c r="C26" s="32" t="n">
        <f aca="false">INDEX(D26:F26,MATCH(scenario,$D$6:$F$6,0))</f>
        <v>250000</v>
      </c>
      <c r="D26" s="33" t="n">
        <v>250000</v>
      </c>
      <c r="E26" s="33" t="n">
        <v>400000</v>
      </c>
      <c r="F26" s="33" t="n">
        <v>100000</v>
      </c>
      <c r="H26" s="22" t="s">
        <v>90</v>
      </c>
    </row>
    <row r="27" customFormat="false" ht="15" hidden="false" customHeight="false" outlineLevel="0" collapsed="false">
      <c r="A27" s="5" t="s">
        <v>91</v>
      </c>
      <c r="B27" s="22" t="s">
        <v>82</v>
      </c>
      <c r="C27" s="30" t="n">
        <f aca="false">INDEX(D27:F27,MATCH(scenario,$D$6:$F$6,0))</f>
        <v>0.3</v>
      </c>
      <c r="D27" s="31" t="n">
        <v>0.3</v>
      </c>
      <c r="E27" s="31" t="n">
        <v>0.5</v>
      </c>
      <c r="F27" s="31" t="n">
        <v>0.1</v>
      </c>
    </row>
    <row r="28" customFormat="false" ht="15" hidden="false" customHeight="false" outlineLevel="0" collapsed="false">
      <c r="A28" s="5" t="s">
        <v>92</v>
      </c>
      <c r="B28" s="22" t="s">
        <v>93</v>
      </c>
      <c r="C28" s="30" t="n">
        <f aca="false">INDEX(D28:F28,MATCH(scenario,$D$6:$F$6,0))</f>
        <v>0.25</v>
      </c>
      <c r="D28" s="31" t="n">
        <v>0.25</v>
      </c>
      <c r="E28" s="31" t="n">
        <v>0.3</v>
      </c>
      <c r="F28" s="31" t="n">
        <v>0.2</v>
      </c>
    </row>
    <row r="29" customFormat="false" ht="15" hidden="false" customHeight="false" outlineLevel="0" collapsed="false">
      <c r="A29" s="5" t="s">
        <v>94</v>
      </c>
      <c r="B29" s="22" t="s">
        <v>61</v>
      </c>
      <c r="C29" s="30" t="n">
        <f aca="false">INDEX(D29:F29,MATCH(scenario,$D$6:$F$6,0))</f>
        <v>0.04</v>
      </c>
      <c r="D29" s="31" t="n">
        <v>0.04</v>
      </c>
      <c r="E29" s="31" t="n">
        <v>0.06</v>
      </c>
      <c r="F29" s="31" t="n">
        <v>0.02</v>
      </c>
      <c r="H29" s="22" t="s">
        <v>95</v>
      </c>
    </row>
    <row r="30" customFormat="false" ht="15" hidden="false" customHeight="false" outlineLevel="0" collapsed="false">
      <c r="A30" s="5" t="s">
        <v>96</v>
      </c>
      <c r="B30" s="22" t="s">
        <v>97</v>
      </c>
      <c r="C30" s="30" t="n">
        <f aca="false">INDEX(D30:F30,MATCH(scenario,$D$6:$F$6,0))</f>
        <v>0.12</v>
      </c>
      <c r="D30" s="31" t="n">
        <v>0.12</v>
      </c>
      <c r="E30" s="31" t="n">
        <v>0.1</v>
      </c>
      <c r="F30" s="31" t="n">
        <v>0.15</v>
      </c>
      <c r="H30" s="22" t="s">
        <v>98</v>
      </c>
    </row>
    <row r="32" customFormat="false" ht="15" hidden="false" customHeight="false" outlineLevel="0" collapsed="false">
      <c r="A32" s="3" t="s">
        <v>99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5" t="s">
        <v>100</v>
      </c>
      <c r="B33" s="22" t="s">
        <v>82</v>
      </c>
      <c r="C33" s="30" t="n">
        <f aca="false">INDEX(D33:F33,MATCH(scenario,$D$6:$F$6,0))</f>
        <v>0.2</v>
      </c>
      <c r="D33" s="31" t="n">
        <v>0.2</v>
      </c>
      <c r="E33" s="31" t="n">
        <v>0.35</v>
      </c>
      <c r="F33" s="31" t="n">
        <v>0.1</v>
      </c>
    </row>
    <row r="34" customFormat="false" ht="15" hidden="false" customHeight="false" outlineLevel="0" collapsed="false">
      <c r="A34" s="5" t="s">
        <v>101</v>
      </c>
      <c r="B34" s="22" t="s">
        <v>102</v>
      </c>
      <c r="C34" s="30" t="n">
        <f aca="false">INDEX(D34:F34,MATCH(scenario,$D$6:$F$6,0))</f>
        <v>0.25</v>
      </c>
      <c r="D34" s="31" t="n">
        <v>0.25</v>
      </c>
      <c r="E34" s="31" t="n">
        <v>0.35</v>
      </c>
      <c r="F34" s="31" t="n">
        <v>0.15</v>
      </c>
    </row>
    <row r="35" customFormat="false" ht="15" hidden="false" customHeight="false" outlineLevel="0" collapsed="false">
      <c r="A35" s="5" t="s">
        <v>103</v>
      </c>
      <c r="B35" s="22" t="s">
        <v>104</v>
      </c>
      <c r="C35" s="30" t="n">
        <f aca="false">INDEX(D35:F35,MATCH(scenario,$D$6:$F$6,0))</f>
        <v>0.3</v>
      </c>
      <c r="D35" s="31" t="n">
        <v>0.3</v>
      </c>
      <c r="E35" s="31" t="n">
        <v>0.25</v>
      </c>
      <c r="F35" s="31" t="n">
        <v>0.4</v>
      </c>
    </row>
    <row r="37" customFormat="false" ht="15" hidden="false" customHeight="false" outlineLevel="0" collapsed="false">
      <c r="A37" s="3" t="s">
        <v>105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5" t="s">
        <v>106</v>
      </c>
      <c r="B38" s="22" t="s">
        <v>107</v>
      </c>
      <c r="C38" s="30" t="n">
        <f aca="false">INDEX(D38:F38,MATCH(scenario,$D$6:$F$6,0))</f>
        <v>0.05</v>
      </c>
      <c r="D38" s="31" t="n">
        <v>0.05</v>
      </c>
      <c r="E38" s="31" t="n">
        <v>0.045</v>
      </c>
      <c r="F38" s="31" t="n">
        <v>0.06</v>
      </c>
      <c r="H38" s="22" t="s">
        <v>108</v>
      </c>
    </row>
    <row r="40" customFormat="false" ht="15" hidden="false" customHeight="false" outlineLevel="0" collapsed="false">
      <c r="A40" s="3" t="s">
        <v>109</v>
      </c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5" t="s">
        <v>110</v>
      </c>
      <c r="B41" s="22" t="s">
        <v>111</v>
      </c>
      <c r="C41" s="34" t="n">
        <v>12000</v>
      </c>
      <c r="H41" s="22" t="s">
        <v>112</v>
      </c>
    </row>
    <row r="42" customFormat="false" ht="15" hidden="false" customHeight="false" outlineLevel="0" collapsed="false">
      <c r="A42" s="5" t="s">
        <v>113</v>
      </c>
      <c r="B42" s="22" t="s">
        <v>111</v>
      </c>
      <c r="C42" s="34" t="n">
        <v>8500</v>
      </c>
    </row>
    <row r="43" customFormat="false" ht="15" hidden="false" customHeight="false" outlineLevel="0" collapsed="false">
      <c r="A43" s="5" t="s">
        <v>114</v>
      </c>
      <c r="B43" s="22" t="s">
        <v>111</v>
      </c>
      <c r="C43" s="34" t="n">
        <v>6500</v>
      </c>
    </row>
    <row r="44" customFormat="false" ht="15" hidden="false" customHeight="false" outlineLevel="0" collapsed="false">
      <c r="A44" s="5" t="s">
        <v>115</v>
      </c>
      <c r="B44" s="22" t="s">
        <v>111</v>
      </c>
      <c r="C44" s="34" t="n">
        <v>8000</v>
      </c>
    </row>
    <row r="45" customFormat="false" ht="15" hidden="false" customHeight="false" outlineLevel="0" collapsed="false">
      <c r="A45" s="5" t="s">
        <v>116</v>
      </c>
      <c r="B45" s="22" t="s">
        <v>78</v>
      </c>
      <c r="C45" s="35" t="n">
        <v>200000</v>
      </c>
    </row>
    <row r="46" customFormat="false" ht="15" hidden="false" customHeight="false" outlineLevel="0" collapsed="false">
      <c r="A46" s="5" t="s">
        <v>117</v>
      </c>
      <c r="B46" s="22" t="s">
        <v>118</v>
      </c>
      <c r="C46" s="34" t="n">
        <v>4</v>
      </c>
      <c r="H46" s="22" t="s">
        <v>119</v>
      </c>
    </row>
    <row r="47" customFormat="false" ht="15" hidden="false" customHeight="false" outlineLevel="0" collapsed="false">
      <c r="A47" s="5" t="s">
        <v>120</v>
      </c>
      <c r="B47" s="22" t="s">
        <v>78</v>
      </c>
      <c r="C47" s="35" t="n">
        <v>99</v>
      </c>
      <c r="H47" s="22" t="s">
        <v>121</v>
      </c>
    </row>
    <row r="48" customFormat="false" ht="15" hidden="false" customHeight="false" outlineLevel="0" collapsed="false">
      <c r="A48" s="5" t="s">
        <v>122</v>
      </c>
      <c r="B48" s="22" t="s">
        <v>123</v>
      </c>
      <c r="C48" s="36" t="n">
        <v>0.333333333333333</v>
      </c>
    </row>
    <row r="49" customFormat="false" ht="15" hidden="false" customHeight="false" outlineLevel="0" collapsed="false">
      <c r="A49" s="5" t="s">
        <v>124</v>
      </c>
      <c r="B49" s="22" t="s">
        <v>123</v>
      </c>
      <c r="C49" s="36" t="n">
        <v>0.666666666666667</v>
      </c>
    </row>
    <row r="50" customFormat="false" ht="15" hidden="false" customHeight="false" outlineLevel="0" collapsed="false">
      <c r="A50" s="5" t="s">
        <v>125</v>
      </c>
      <c r="B50" s="22" t="s">
        <v>123</v>
      </c>
      <c r="C50" s="36" t="n">
        <v>1</v>
      </c>
    </row>
  </sheetData>
  <dataValidations count="1">
    <dataValidation allowBlank="false" error="Pick Base, Upside or Downside." errorStyle="stop" errorTitle="Scenario" operator="between" showDropDown="false" showErrorMessage="false" showInputMessage="false" sqref="C4" type="list">
      <formula1>"Base,Upside,Downside"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3" customFormat="false" ht="15" hidden="false" customHeight="false" outlineLevel="0" collapsed="false">
      <c r="A3" s="5" t="s">
        <v>128</v>
      </c>
      <c r="B3" s="27" t="n">
        <v>30</v>
      </c>
    </row>
    <row r="5" customFormat="false" ht="15" hidden="false" customHeight="false" outlineLevel="0" collapsed="false">
      <c r="A5" s="3" t="s">
        <v>129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30" hidden="false" customHeight="true" outlineLevel="0" collapsed="false">
      <c r="A6" s="13" t="s">
        <v>130</v>
      </c>
      <c r="B6" s="14" t="s">
        <v>131</v>
      </c>
      <c r="C6" s="14" t="s">
        <v>132</v>
      </c>
      <c r="D6" s="14" t="s">
        <v>133</v>
      </c>
      <c r="E6" s="14" t="s">
        <v>134</v>
      </c>
      <c r="F6" s="14" t="s">
        <v>135</v>
      </c>
      <c r="G6" s="14" t="s">
        <v>136</v>
      </c>
      <c r="H6" s="14" t="s">
        <v>137</v>
      </c>
      <c r="I6" s="14" t="s">
        <v>138</v>
      </c>
      <c r="J6" s="14" t="s">
        <v>139</v>
      </c>
      <c r="K6" s="14" t="s">
        <v>140</v>
      </c>
      <c r="L6" s="14" t="s">
        <v>141</v>
      </c>
      <c r="M6" s="14" t="s">
        <v>142</v>
      </c>
      <c r="N6" s="14" t="s">
        <v>143</v>
      </c>
    </row>
    <row r="7" customFormat="false" ht="15" hidden="false" customHeight="false" outlineLevel="0" collapsed="false">
      <c r="A7" s="5" t="s">
        <v>144</v>
      </c>
      <c r="B7" s="27" t="n">
        <v>30</v>
      </c>
      <c r="C7" s="33" t="n">
        <v>780557.2</v>
      </c>
      <c r="D7" s="33" t="n">
        <v>780557.2</v>
      </c>
      <c r="E7" s="33" t="n">
        <v>408581.18</v>
      </c>
      <c r="F7" s="37" t="n">
        <f aca="false">IF(C7=0,0,(C7-E7)/C7)</f>
        <v>0.476551904203817</v>
      </c>
      <c r="G7" s="27" t="n">
        <v>16626</v>
      </c>
      <c r="H7" s="27" t="n">
        <v>3247</v>
      </c>
      <c r="I7" s="38" t="n">
        <f aca="false">IF(G7=0,0,C7/G7)</f>
        <v>46.947985083604</v>
      </c>
      <c r="J7" s="37" t="n">
        <f aca="false">IF(G7=0,0,H7/G7)</f>
        <v>0.195296523517382</v>
      </c>
      <c r="K7" s="33" t="n">
        <v>14536.36</v>
      </c>
      <c r="L7" s="37" t="n">
        <f aca="false">IF(C7=0,0,K7/C7)</f>
        <v>0.0186230554275843</v>
      </c>
      <c r="M7" s="39" t="n">
        <f aca="false">IF(B7=0,0,C7/B7)</f>
        <v>26018.5733333333</v>
      </c>
      <c r="N7" s="39" t="n">
        <f aca="false">M7*365</f>
        <v>9496779.26666667</v>
      </c>
    </row>
    <row r="8" customFormat="false" ht="15" hidden="false" customHeight="false" outlineLevel="0" collapsed="false">
      <c r="A8" s="5" t="s">
        <v>145</v>
      </c>
      <c r="B8" s="27" t="n">
        <v>30</v>
      </c>
      <c r="C8" s="33" t="n">
        <v>540799.27</v>
      </c>
      <c r="D8" s="33" t="n">
        <v>540799.27</v>
      </c>
      <c r="E8" s="33" t="n">
        <v>280733.65</v>
      </c>
      <c r="F8" s="37" t="n">
        <f aca="false">IF(C8=0,0,(C8-E8)/C8)</f>
        <v>0.480891218658635</v>
      </c>
      <c r="G8" s="27" t="n">
        <v>11914</v>
      </c>
      <c r="H8" s="27" t="n">
        <v>2373</v>
      </c>
      <c r="I8" s="38" t="n">
        <f aca="false">IF(G8=0,0,C8/G8)</f>
        <v>45.3919145543059</v>
      </c>
      <c r="J8" s="37" t="n">
        <f aca="false">IF(G8=0,0,H8/G8)</f>
        <v>0.199177438307873</v>
      </c>
      <c r="K8" s="33" t="n">
        <v>10147.67</v>
      </c>
      <c r="L8" s="37" t="n">
        <f aca="false">IF(C8=0,0,K8/C8)</f>
        <v>0.0187642080212128</v>
      </c>
      <c r="M8" s="39" t="n">
        <f aca="false">IF(B8=0,0,C8/B8)</f>
        <v>18026.6423333333</v>
      </c>
      <c r="N8" s="39" t="n">
        <f aca="false">M8*365</f>
        <v>6579724.45166667</v>
      </c>
    </row>
    <row r="9" customFormat="false" ht="15" hidden="false" customHeight="false" outlineLevel="0" collapsed="false">
      <c r="A9" s="5" t="s">
        <v>146</v>
      </c>
      <c r="B9" s="27" t="n">
        <v>19</v>
      </c>
      <c r="C9" s="33" t="n">
        <v>162685.96</v>
      </c>
      <c r="D9" s="33" t="n">
        <v>162685.96</v>
      </c>
      <c r="E9" s="33" t="n">
        <v>83971.29</v>
      </c>
      <c r="F9" s="37" t="n">
        <f aca="false">IF(C9=0,0,(C9-E9)/C9)</f>
        <v>0.48384427273257</v>
      </c>
      <c r="G9" s="27" t="n">
        <v>3703</v>
      </c>
      <c r="H9" s="27" t="n">
        <v>763</v>
      </c>
      <c r="I9" s="38" t="n">
        <f aca="false">IF(G9=0,0,C9/G9)</f>
        <v>43.9335565757494</v>
      </c>
      <c r="J9" s="37" t="n">
        <f aca="false">IF(G9=0,0,H9/G9)</f>
        <v>0.206049149338374</v>
      </c>
      <c r="K9" s="33" t="n">
        <v>3192.91</v>
      </c>
      <c r="L9" s="37" t="n">
        <f aca="false">IF(C9=0,0,K9/C9)</f>
        <v>0.0196262172839008</v>
      </c>
      <c r="M9" s="39" t="n">
        <f aca="false">IF(B9=0,0,C9/B9)</f>
        <v>8562.41894736842</v>
      </c>
      <c r="N9" s="39" t="n">
        <f aca="false">M9*365</f>
        <v>3125282.91578947</v>
      </c>
    </row>
    <row r="10" customFormat="false" ht="15" hidden="false" customHeight="false" outlineLevel="0" collapsed="false">
      <c r="A10" s="40" t="s">
        <v>147</v>
      </c>
      <c r="B10" s="41"/>
      <c r="C10" s="42" t="n">
        <f aca="false">SUM(C7:C9)</f>
        <v>1484042.43</v>
      </c>
      <c r="D10" s="42" t="n">
        <f aca="false">SUM(D7:D9)</f>
        <v>1484042.43</v>
      </c>
      <c r="E10" s="42" t="n">
        <f aca="false">SUM(E7:E9)</f>
        <v>773286.12</v>
      </c>
      <c r="F10" s="43" t="n">
        <f aca="false">IF(C10=0,0,(C10-E10)/C10)</f>
        <v>0.478932607068384</v>
      </c>
      <c r="G10" s="44" t="n">
        <f aca="false">SUM(G7:G9)</f>
        <v>32243</v>
      </c>
      <c r="H10" s="44" t="n">
        <f aca="false">SUM(H7:H9)</f>
        <v>6383</v>
      </c>
      <c r="I10" s="45" t="n">
        <f aca="false">IF(G10=0,0,C10/G10)</f>
        <v>46.0268098502</v>
      </c>
      <c r="J10" s="43" t="n">
        <f aca="false">IF(G10=0,0,H10/G10)</f>
        <v>0.197965449865087</v>
      </c>
      <c r="K10" s="42" t="n">
        <f aca="false">SUM(K7:K9)</f>
        <v>27876.94</v>
      </c>
      <c r="L10" s="43" t="n">
        <f aca="false">IF(C10=0,0,K10/C10)</f>
        <v>0.0187844629213196</v>
      </c>
      <c r="M10" s="42" t="n">
        <f aca="false">SUM(M7:M9)</f>
        <v>52607.6346140351</v>
      </c>
      <c r="N10" s="42" t="n">
        <f aca="false">SUM(N7:N9)</f>
        <v>19201786.6341228</v>
      </c>
    </row>
    <row r="11" customFormat="false" ht="15" hidden="false" customHeight="false" outlineLevel="0" collapsed="false">
      <c r="A11" s="2" t="s">
        <v>148</v>
      </c>
    </row>
    <row r="13" customFormat="false" ht="15" hidden="false" customHeight="false" outlineLevel="0" collapsed="false">
      <c r="A13" s="3" t="s">
        <v>149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30" hidden="false" customHeight="true" outlineLevel="0" collapsed="false">
      <c r="A14" s="13" t="s">
        <v>150</v>
      </c>
      <c r="B14" s="13" t="s">
        <v>151</v>
      </c>
      <c r="C14" s="14" t="s">
        <v>152</v>
      </c>
      <c r="D14" s="14" t="s">
        <v>134</v>
      </c>
      <c r="E14" s="14" t="s">
        <v>153</v>
      </c>
      <c r="F14" s="14" t="s">
        <v>135</v>
      </c>
      <c r="G14" s="14" t="s">
        <v>154</v>
      </c>
      <c r="H14" s="14" t="s">
        <v>155</v>
      </c>
      <c r="I14" s="14" t="s">
        <v>156</v>
      </c>
      <c r="J14" s="14" t="s">
        <v>157</v>
      </c>
      <c r="K14" s="14" t="s">
        <v>158</v>
      </c>
      <c r="L14" s="14" t="s">
        <v>159</v>
      </c>
    </row>
    <row r="15" customFormat="false" ht="15" hidden="false" customHeight="false" outlineLevel="0" collapsed="false">
      <c r="A15" s="5" t="s">
        <v>160</v>
      </c>
      <c r="B15" s="5" t="s">
        <v>161</v>
      </c>
      <c r="C15" s="33" t="n">
        <v>127119.22</v>
      </c>
      <c r="D15" s="33" t="n">
        <v>86444.96</v>
      </c>
      <c r="E15" s="27" t="n">
        <v>25878</v>
      </c>
      <c r="F15" s="37" t="n">
        <f aca="false">IF(C15=0,0,(C15-D15)/C15)</f>
        <v>0.319969395658658</v>
      </c>
      <c r="G15" s="31" t="n">
        <v>0.35</v>
      </c>
      <c r="H15" s="46" t="n">
        <f aca="false">F15-G15</f>
        <v>-0.030030604341342</v>
      </c>
      <c r="I15" s="38" t="n">
        <f aca="false">IF(E15=0,0,C15/E15)</f>
        <v>4.91225056032151</v>
      </c>
      <c r="J15" s="38" t="n">
        <f aca="false">IF(E15=0,0,D15/E15)</f>
        <v>3.34048071721153</v>
      </c>
      <c r="K15" s="47" t="n">
        <f aca="false">E15/days_window*7</f>
        <v>6038.2</v>
      </c>
      <c r="L15" s="37" t="n">
        <f aca="false">IF($C$25=0,0,C15/$C$25)</f>
        <v>0.085657402666041</v>
      </c>
    </row>
    <row r="16" customFormat="false" ht="15" hidden="false" customHeight="false" outlineLevel="0" collapsed="false">
      <c r="A16" s="5" t="s">
        <v>162</v>
      </c>
      <c r="B16" s="5" t="s">
        <v>161</v>
      </c>
      <c r="C16" s="33" t="n">
        <v>164813.46</v>
      </c>
      <c r="D16" s="33" t="n">
        <v>125124.29</v>
      </c>
      <c r="E16" s="27" t="n">
        <v>5154</v>
      </c>
      <c r="F16" s="37" t="n">
        <f aca="false">IF(C16=0,0,(C16-D16)/C16)</f>
        <v>0.240812673916317</v>
      </c>
      <c r="G16" s="31" t="n">
        <v>0.28</v>
      </c>
      <c r="H16" s="46" t="n">
        <f aca="false">F16-G16</f>
        <v>-0.0391873260836828</v>
      </c>
      <c r="I16" s="38" t="n">
        <f aca="false">IF(E16=0,0,C16/E16)</f>
        <v>31.9777764842841</v>
      </c>
      <c r="J16" s="38" t="n">
        <f aca="false">IF(E16=0,0,D16/E16)</f>
        <v>24.2771226232053</v>
      </c>
      <c r="K16" s="47" t="n">
        <f aca="false">E16/days_window*7</f>
        <v>1202.6</v>
      </c>
      <c r="L16" s="37" t="n">
        <f aca="false">IF($C$25=0,0,C16/$C$25)</f>
        <v>0.111057107713558</v>
      </c>
    </row>
    <row r="17" customFormat="false" ht="15" hidden="false" customHeight="false" outlineLevel="0" collapsed="false">
      <c r="A17" s="5" t="s">
        <v>163</v>
      </c>
      <c r="B17" s="5" t="s">
        <v>161</v>
      </c>
      <c r="C17" s="33" t="n">
        <v>71979.37</v>
      </c>
      <c r="D17" s="33" t="n">
        <v>48884.55</v>
      </c>
      <c r="E17" s="27" t="n">
        <v>8763</v>
      </c>
      <c r="F17" s="37" t="n">
        <f aca="false">IF(C17=0,0,(C17-D17)/C17)</f>
        <v>0.320853322278314</v>
      </c>
      <c r="G17" s="31" t="n">
        <v>0.32</v>
      </c>
      <c r="H17" s="46" t="n">
        <f aca="false">F17-G17</f>
        <v>0.000853322278313806</v>
      </c>
      <c r="I17" s="38" t="n">
        <f aca="false">IF(E17=0,0,C17/E17)</f>
        <v>8.21401004222298</v>
      </c>
      <c r="J17" s="38" t="n">
        <f aca="false">IF(E17=0,0,D17/E17)</f>
        <v>5.57851763094831</v>
      </c>
      <c r="K17" s="47" t="n">
        <f aca="false">E17/days_window*7</f>
        <v>2044.7</v>
      </c>
      <c r="L17" s="37" t="n">
        <f aca="false">IF($C$25=0,0,C17/$C$25)</f>
        <v>0.0485022318398268</v>
      </c>
    </row>
    <row r="18" customFormat="false" ht="15" hidden="false" customHeight="false" outlineLevel="0" collapsed="false">
      <c r="A18" s="5" t="s">
        <v>164</v>
      </c>
      <c r="B18" s="5" t="s">
        <v>161</v>
      </c>
      <c r="C18" s="33" t="n">
        <v>141755.02</v>
      </c>
      <c r="D18" s="33" t="n">
        <v>86547.4</v>
      </c>
      <c r="E18" s="27" t="n">
        <v>12198</v>
      </c>
      <c r="F18" s="37" t="n">
        <f aca="false">IF(C18=0,0,(C18-D18)/C18)</f>
        <v>0.389457953587817</v>
      </c>
      <c r="G18" s="31" t="n">
        <v>0.38</v>
      </c>
      <c r="H18" s="46" t="n">
        <f aca="false">F18-G18</f>
        <v>0.00945795358781648</v>
      </c>
      <c r="I18" s="38" t="n">
        <f aca="false">IF(E18=0,0,C18/E18)</f>
        <v>11.6211690441056</v>
      </c>
      <c r="J18" s="38" t="n">
        <f aca="false">IF(E18=0,0,D18/E18)</f>
        <v>7.09521232989015</v>
      </c>
      <c r="K18" s="47" t="n">
        <f aca="false">E18/days_window*7</f>
        <v>2846.2</v>
      </c>
      <c r="L18" s="37" t="n">
        <f aca="false">IF($C$25=0,0,C18/$C$25)</f>
        <v>0.095519519613735</v>
      </c>
    </row>
    <row r="19" customFormat="false" ht="15" hidden="false" customHeight="false" outlineLevel="0" collapsed="false">
      <c r="A19" s="5" t="s">
        <v>165</v>
      </c>
      <c r="B19" s="5" t="s">
        <v>161</v>
      </c>
      <c r="C19" s="33" t="n">
        <v>67439.28</v>
      </c>
      <c r="D19" s="33" t="n">
        <v>39513.74</v>
      </c>
      <c r="E19" s="27" t="n">
        <v>9272</v>
      </c>
      <c r="F19" s="37" t="n">
        <f aca="false">IF(C19=0,0,(C19-D19)/C19)</f>
        <v>0.414084195442182</v>
      </c>
      <c r="G19" s="31" t="n">
        <v>0.4</v>
      </c>
      <c r="H19" s="46" t="n">
        <f aca="false">F19-G19</f>
        <v>0.0140841954421815</v>
      </c>
      <c r="I19" s="38" t="n">
        <f aca="false">IF(E19=0,0,C19/E19)</f>
        <v>7.27343399482312</v>
      </c>
      <c r="J19" s="38" t="n">
        <f aca="false">IF(E19=0,0,D19/E19)</f>
        <v>4.26161993097498</v>
      </c>
      <c r="K19" s="47" t="n">
        <f aca="false">E19/days_window*7</f>
        <v>2163.46666666667</v>
      </c>
      <c r="L19" s="37" t="n">
        <f aca="false">IF($C$25=0,0,C19/$C$25)</f>
        <v>0.045442959471179</v>
      </c>
    </row>
    <row r="20" customFormat="false" ht="15" hidden="false" customHeight="false" outlineLevel="0" collapsed="false">
      <c r="A20" s="5" t="s">
        <v>166</v>
      </c>
      <c r="B20" s="5" t="s">
        <v>161</v>
      </c>
      <c r="C20" s="33" t="n">
        <v>130830.96</v>
      </c>
      <c r="D20" s="33" t="n">
        <v>71061.85</v>
      </c>
      <c r="E20" s="27" t="n">
        <v>14704</v>
      </c>
      <c r="F20" s="37" t="n">
        <f aca="false">IF(C20=0,0,(C20-D20)/C20)</f>
        <v>0.456842248960032</v>
      </c>
      <c r="G20" s="31" t="n">
        <v>0.45</v>
      </c>
      <c r="H20" s="46" t="n">
        <f aca="false">F20-G20</f>
        <v>0.00684224896003205</v>
      </c>
      <c r="I20" s="38" t="n">
        <f aca="false">IF(E20=0,0,C20/E20)</f>
        <v>8.89764417845484</v>
      </c>
      <c r="J20" s="38" t="n">
        <f aca="false">IF(E20=0,0,D20/E20)</f>
        <v>4.8328244015234</v>
      </c>
      <c r="K20" s="47" t="n">
        <f aca="false">E20/days_window*7</f>
        <v>3430.93333333333</v>
      </c>
      <c r="L20" s="37" t="n">
        <f aca="false">IF($C$25=0,0,C20/$C$25)</f>
        <v>0.0881585036621898</v>
      </c>
    </row>
    <row r="21" customFormat="false" ht="15" hidden="false" customHeight="false" outlineLevel="0" collapsed="false">
      <c r="A21" s="5" t="s">
        <v>167</v>
      </c>
      <c r="B21" s="5" t="s">
        <v>168</v>
      </c>
      <c r="C21" s="33" t="n">
        <v>557894.52</v>
      </c>
      <c r="D21" s="33" t="n">
        <v>206716.08</v>
      </c>
      <c r="E21" s="27" t="n">
        <v>32648</v>
      </c>
      <c r="F21" s="37" t="n">
        <f aca="false">IF(C21=0,0,(C21-D21)/C21)</f>
        <v>0.629471033341572</v>
      </c>
      <c r="G21" s="31" t="n">
        <v>0.65</v>
      </c>
      <c r="H21" s="46" t="n">
        <f aca="false">F21-G21</f>
        <v>-0.0205289666584285</v>
      </c>
      <c r="I21" s="38" t="n">
        <f aca="false">IF(E21=0,0,C21/E21)</f>
        <v>17.0881683410929</v>
      </c>
      <c r="J21" s="38" t="n">
        <f aca="false">IF(E21=0,0,D21/E21)</f>
        <v>6.33166135751041</v>
      </c>
      <c r="K21" s="47" t="n">
        <f aca="false">E21/days_window*7</f>
        <v>7617.86666666667</v>
      </c>
      <c r="L21" s="37" t="n">
        <f aca="false">IF($C$25=0,0,C21/$C$25)</f>
        <v>0.375928955077113</v>
      </c>
    </row>
    <row r="22" customFormat="false" ht="15" hidden="false" customHeight="false" outlineLevel="0" collapsed="false">
      <c r="A22" s="5" t="s">
        <v>169</v>
      </c>
      <c r="B22" s="5" t="s">
        <v>161</v>
      </c>
      <c r="C22" s="33" t="n">
        <v>145531.14</v>
      </c>
      <c r="D22" s="33" t="n">
        <v>74268.65</v>
      </c>
      <c r="E22" s="27" t="n">
        <v>2986</v>
      </c>
      <c r="F22" s="37" t="n">
        <f aca="false">IF(C22=0,0,(C22-D22)/C22)</f>
        <v>0.489671763720122</v>
      </c>
      <c r="G22" s="31" t="n">
        <v>0.48</v>
      </c>
      <c r="H22" s="46" t="n">
        <f aca="false">F22-G22</f>
        <v>0.00967176372012213</v>
      </c>
      <c r="I22" s="38" t="n">
        <f aca="false">IF(E22=0,0,C22/E22)</f>
        <v>48.7378231748158</v>
      </c>
      <c r="J22" s="38" t="n">
        <f aca="false">IF(E22=0,0,D22/E22)</f>
        <v>24.8722873409243</v>
      </c>
      <c r="K22" s="47" t="n">
        <f aca="false">E22/days_window*7</f>
        <v>696.733333333333</v>
      </c>
      <c r="L22" s="37" t="n">
        <f aca="false">IF($C$25=0,0,C22/$C$25)</f>
        <v>0.0980640021188613</v>
      </c>
    </row>
    <row r="23" customFormat="false" ht="15" hidden="false" customHeight="false" outlineLevel="0" collapsed="false">
      <c r="A23" s="5" t="s">
        <v>170</v>
      </c>
      <c r="B23" s="5" t="s">
        <v>161</v>
      </c>
      <c r="C23" s="33" t="n">
        <v>70906.6</v>
      </c>
      <c r="D23" s="33" t="n">
        <v>31261.32</v>
      </c>
      <c r="E23" s="27" t="n">
        <v>1540</v>
      </c>
      <c r="F23" s="37" t="n">
        <f aca="false">IF(C23=0,0,(C23-D23)/C23)</f>
        <v>0.559119743437141</v>
      </c>
      <c r="G23" s="31" t="n">
        <v>0.55</v>
      </c>
      <c r="H23" s="46" t="n">
        <f aca="false">F23-G23</f>
        <v>0.00911974343714128</v>
      </c>
      <c r="I23" s="38" t="n">
        <f aca="false">IF(E23=0,0,C23/E23)</f>
        <v>46.0432467532468</v>
      </c>
      <c r="J23" s="38" t="n">
        <f aca="false">IF(E23=0,0,D23/E23)</f>
        <v>20.2995584415584</v>
      </c>
      <c r="K23" s="47" t="n">
        <f aca="false">E23/days_window*7</f>
        <v>359.333333333333</v>
      </c>
      <c r="L23" s="37" t="n">
        <f aca="false">IF($C$25=0,0,C23/$C$25)</f>
        <v>0.047779361672294</v>
      </c>
    </row>
    <row r="24" customFormat="false" ht="15" hidden="false" customHeight="false" outlineLevel="0" collapsed="false">
      <c r="A24" s="5" t="s">
        <v>171</v>
      </c>
      <c r="B24" s="5" t="s">
        <v>161</v>
      </c>
      <c r="C24" s="33" t="n">
        <v>5772.86</v>
      </c>
      <c r="D24" s="33" t="n">
        <v>3463.28</v>
      </c>
      <c r="E24" s="27" t="n">
        <v>314</v>
      </c>
      <c r="F24" s="37" t="n">
        <f aca="false">IF(C24=0,0,(C24-D24)/C24)</f>
        <v>0.400075525822556</v>
      </c>
      <c r="I24" s="38" t="n">
        <f aca="false">IF(E24=0,0,C24/E24)</f>
        <v>18.3849044585987</v>
      </c>
      <c r="J24" s="38" t="n">
        <f aca="false">IF(E24=0,0,D24/E24)</f>
        <v>11.0295541401274</v>
      </c>
      <c r="K24" s="47" t="n">
        <f aca="false">E24/days_window*7</f>
        <v>73.2666666666667</v>
      </c>
      <c r="L24" s="37" t="n">
        <f aca="false">IF($C$25=0,0,C24/$C$25)</f>
        <v>0.0038899561652021</v>
      </c>
    </row>
    <row r="25" customFormat="false" ht="15" hidden="false" customHeight="false" outlineLevel="0" collapsed="false">
      <c r="A25" s="40" t="s">
        <v>147</v>
      </c>
      <c r="B25" s="41"/>
      <c r="C25" s="42" t="n">
        <f aca="false">SUM(C15:C24)</f>
        <v>1484042.43</v>
      </c>
      <c r="D25" s="42" t="n">
        <f aca="false">SUM(D15:D24)</f>
        <v>773286.12</v>
      </c>
      <c r="E25" s="44" t="n">
        <f aca="false">SUM(E15:E24)</f>
        <v>113457</v>
      </c>
      <c r="F25" s="43" t="n">
        <f aca="false">IF(C25=0,0,(C25-D25)/C25)</f>
        <v>0.478932607068384</v>
      </c>
      <c r="G25" s="41"/>
      <c r="H25" s="41"/>
      <c r="I25" s="41"/>
      <c r="J25" s="41"/>
      <c r="K25" s="41"/>
      <c r="L25" s="41"/>
      <c r="M25" s="41"/>
      <c r="N25" s="41"/>
    </row>
    <row r="26" customFormat="false" ht="15" hidden="false" customHeight="false" outlineLevel="0" collapsed="false">
      <c r="A26" s="2" t="s">
        <v>172</v>
      </c>
    </row>
    <row r="28" customFormat="false" ht="15" hidden="false" customHeight="false" outlineLevel="0" collapsed="false">
      <c r="A28" s="3" t="s">
        <v>173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3" t="s">
        <v>151</v>
      </c>
      <c r="B29" s="14" t="s">
        <v>152</v>
      </c>
      <c r="C29" s="14" t="s">
        <v>134</v>
      </c>
      <c r="D29" s="14" t="s">
        <v>135</v>
      </c>
      <c r="E29" s="14" t="s">
        <v>159</v>
      </c>
      <c r="F29" s="14" t="s">
        <v>143</v>
      </c>
    </row>
    <row r="30" customFormat="false" ht="15" hidden="false" customHeight="false" outlineLevel="0" collapsed="false">
      <c r="A30" s="5" t="s">
        <v>161</v>
      </c>
      <c r="B30" s="39" t="n">
        <f aca="false">SUMIF($B$15:$B$24,"Grocery",$C$15:$C$24)</f>
        <v>926147.91</v>
      </c>
      <c r="C30" s="39" t="n">
        <f aca="false">SUMIF($B$15:$B$24,"Grocery",$D$15:$D$24)</f>
        <v>566570.04</v>
      </c>
      <c r="D30" s="37" t="n">
        <f aca="false">IF(B30=0,0,(B30-C30)/B30)</f>
        <v>0.388251019213551</v>
      </c>
      <c r="E30" s="37" t="n">
        <f aca="false">IF($C$25=0,0,B30/$C$25)</f>
        <v>0.624071044922887</v>
      </c>
      <c r="F30" s="39" t="n">
        <f aca="false">E30*stores_runrate</f>
        <v>11983279.0491433</v>
      </c>
    </row>
    <row r="31" customFormat="false" ht="15" hidden="false" customHeight="false" outlineLevel="0" collapsed="false">
      <c r="A31" s="5" t="s">
        <v>168</v>
      </c>
      <c r="B31" s="39" t="n">
        <f aca="false">SUMIF($B$15:$B$24,"Cafe &amp; hot bar",$C$15:$C$24)</f>
        <v>557894.52</v>
      </c>
      <c r="C31" s="39" t="n">
        <f aca="false">SUMIF($B$15:$B$24,"Cafe &amp; hot bar",$D$15:$D$24)</f>
        <v>206716.08</v>
      </c>
      <c r="D31" s="37" t="n">
        <f aca="false">IF(B31=0,0,(B31-C31)/B31)</f>
        <v>0.629471033341572</v>
      </c>
      <c r="E31" s="37" t="n">
        <f aca="false">IF($C$25=0,0,B31/$C$25)</f>
        <v>0.375928955077113</v>
      </c>
      <c r="F31" s="39" t="n">
        <f aca="false">E31*stores_runrate</f>
        <v>7218507.58497947</v>
      </c>
    </row>
    <row r="32" customFormat="false" ht="15" hidden="false" customHeight="false" outlineLevel="0" collapsed="false">
      <c r="A32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  <col collapsed="false" customWidth="true" hidden="false" outlineLevel="0" max="63" min="7" style="0" width="1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tr">
        <f aca="false">"One new store, month by month for 5 years. Scenario: "&amp;scenario</f>
        <v>One new store, month by month for 5 years. Scenario: Base</v>
      </c>
    </row>
    <row r="4" customFormat="false" ht="15" hidden="false" customHeight="false" outlineLevel="0" collapsed="false">
      <c r="A4" s="3" t="s">
        <v>175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176</v>
      </c>
      <c r="B5" s="17" t="n">
        <f aca="false">sqft_new</f>
        <v>8000</v>
      </c>
    </row>
    <row r="6" customFormat="false" ht="15" hidden="false" customHeight="false" outlineLevel="0" collapsed="false">
      <c r="A6" s="5" t="s">
        <v>177</v>
      </c>
      <c r="B6" s="48" t="n">
        <f aca="false">flag_runrate</f>
        <v>9496779.26666667</v>
      </c>
    </row>
    <row r="7" customFormat="false" ht="15" hidden="false" customHeight="false" outlineLevel="0" collapsed="false">
      <c r="A7" s="5" t="s">
        <v>178</v>
      </c>
      <c r="B7" s="17" t="n">
        <f aca="false">sqft_s1</f>
        <v>12000</v>
      </c>
    </row>
    <row r="8" customFormat="false" ht="15" hidden="false" customHeight="false" outlineLevel="0" collapsed="false">
      <c r="A8" s="5" t="s">
        <v>179</v>
      </c>
      <c r="B8" s="39" t="n">
        <f aca="false">IF(B7=0,0,B6/B7)</f>
        <v>791.398272222222</v>
      </c>
    </row>
    <row r="9" customFormat="false" ht="15" hidden="false" customHeight="false" outlineLevel="0" collapsed="false">
      <c r="A9" s="5" t="s">
        <v>48</v>
      </c>
      <c r="B9" s="49" t="n">
        <f aca="false">prod</f>
        <v>1</v>
      </c>
    </row>
    <row r="10" customFormat="false" ht="15" hidden="false" customHeight="false" outlineLevel="0" collapsed="false">
      <c r="A10" s="5" t="s">
        <v>26</v>
      </c>
      <c r="B10" s="39" t="n">
        <f aca="false">B5*B8*B9</f>
        <v>6331186.17777778</v>
      </c>
    </row>
    <row r="11" customFormat="false" ht="15" hidden="false" customHeight="false" outlineLevel="0" collapsed="false">
      <c r="A11" s="5" t="s">
        <v>135</v>
      </c>
      <c r="B11" s="37" t="n">
        <f aca="false">gm_actual+gm_delta</f>
        <v>0.478932607068384</v>
      </c>
    </row>
    <row r="12" customFormat="false" ht="15" hidden="false" customHeight="false" outlineLevel="0" collapsed="false">
      <c r="A12" s="5" t="s">
        <v>74</v>
      </c>
      <c r="B12" s="39" t="n">
        <f aca="false">B5*buildout_psf</f>
        <v>2000000</v>
      </c>
    </row>
    <row r="13" customFormat="false" ht="15" hidden="false" customHeight="false" outlineLevel="0" collapsed="false">
      <c r="A13" s="5" t="s">
        <v>77</v>
      </c>
      <c r="B13" s="48" t="n">
        <f aca="false">preopen</f>
        <v>150000</v>
      </c>
    </row>
    <row r="14" customFormat="false" ht="15" hidden="false" customHeight="false" outlineLevel="0" collapsed="false">
      <c r="A14" s="5" t="s">
        <v>116</v>
      </c>
      <c r="B14" s="48" t="n">
        <f aca="false">inventory</f>
        <v>200000</v>
      </c>
    </row>
    <row r="15" customFormat="false" ht="15" hidden="false" customHeight="false" outlineLevel="0" collapsed="false">
      <c r="A15" s="9" t="s">
        <v>25</v>
      </c>
      <c r="B15" s="32" t="n">
        <f aca="false">SUM(B12:B14)</f>
        <v>2350000</v>
      </c>
    </row>
    <row r="17" customFormat="false" ht="15" hidden="false" customHeight="false" outlineLevel="0" collapsed="false">
      <c r="A17" s="3" t="s">
        <v>180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29</v>
      </c>
      <c r="B18" s="50" t="n">
        <f aca="false">IF(MIN($D59:$BK59)&gt;60,"Over 60",MIN($D59:$BK59))</f>
        <v>48</v>
      </c>
    </row>
    <row r="19" customFormat="false" ht="15" hidden="false" customHeight="false" outlineLevel="0" collapsed="false">
      <c r="A19" s="5" t="s">
        <v>28</v>
      </c>
      <c r="B19" s="51" t="n">
        <f aca="false">D32</f>
        <v>722498.696580651</v>
      </c>
    </row>
    <row r="20" customFormat="false" ht="15" hidden="false" customHeight="false" outlineLevel="0" collapsed="false">
      <c r="A20" s="5" t="s">
        <v>30</v>
      </c>
      <c r="B20" s="52" t="n">
        <f aca="false">IF(ns_invest=0,0,D32/ns_invest)</f>
        <v>0.307446253864107</v>
      </c>
    </row>
    <row r="21" customFormat="false" ht="15" hidden="false" customHeight="false" outlineLevel="0" collapsed="false">
      <c r="A21" s="5" t="s">
        <v>181</v>
      </c>
      <c r="B21" s="51" t="n">
        <f aca="false">IF(B5=0,0,ns_mature_sales/B5)</f>
        <v>791.398272222222</v>
      </c>
    </row>
    <row r="22" customFormat="false" ht="15" hidden="false" customHeight="false" outlineLevel="0" collapsed="false">
      <c r="A22" s="5" t="s">
        <v>182</v>
      </c>
      <c r="B22" s="52" t="n">
        <f aca="false">IF(ns_mature_sales=0,0,ns_gm-waste_pct-labor_pct-other_pct-sqft_new*rent_psf/ns_mature_sales)</f>
        <v>0.11411743017708</v>
      </c>
    </row>
    <row r="24" customFormat="false" ht="15" hidden="false" customHeight="false" outlineLevel="0" collapsed="false">
      <c r="A24" s="3" t="s">
        <v>183</v>
      </c>
      <c r="B24" s="4"/>
      <c r="C24" s="4"/>
      <c r="D24" s="4"/>
      <c r="E24" s="4"/>
      <c r="F24" s="4"/>
    </row>
    <row r="25" customFormat="false" ht="15" hidden="false" customHeight="false" outlineLevel="0" collapsed="false">
      <c r="B25" s="53" t="n">
        <v>1</v>
      </c>
      <c r="C25" s="53" t="n">
        <v>2</v>
      </c>
      <c r="D25" s="53" t="n">
        <v>3</v>
      </c>
      <c r="E25" s="53" t="n">
        <v>4</v>
      </c>
      <c r="F25" s="53" t="n">
        <v>5</v>
      </c>
    </row>
    <row r="26" customFormat="false" ht="15" hidden="false" customHeight="false" outlineLevel="0" collapsed="false">
      <c r="A26" s="5" t="s">
        <v>152</v>
      </c>
      <c r="B26" s="39" t="n">
        <f aca="false">SUMIF($D$47:$BK$47,B$25,$D49:$BK49)</f>
        <v>4618041.68261438</v>
      </c>
      <c r="C26" s="39" t="n">
        <f aca="false">SUMIF($D$47:$BK$47,C$25,$D49:$BK49)</f>
        <v>6144974.81960784</v>
      </c>
      <c r="D26" s="39" t="n">
        <f aca="false">SUMIF($D$47:$BK$47,D$25,$D49:$BK49)</f>
        <v>6331186.17777778</v>
      </c>
      <c r="E26" s="39" t="n">
        <f aca="false">SUMIF($D$47:$BK$47,E$25,$D49:$BK49)</f>
        <v>6331186.17777778</v>
      </c>
      <c r="F26" s="39" t="n">
        <f aca="false">SUMIF($D$47:$BK$47,F$25,$D49:$BK49)</f>
        <v>6331186.17777778</v>
      </c>
    </row>
    <row r="27" customFormat="false" ht="15" hidden="false" customHeight="false" outlineLevel="0" collapsed="false">
      <c r="A27" s="5" t="s">
        <v>184</v>
      </c>
      <c r="B27" s="39" t="n">
        <f aca="false">SUMIF($D$47:$BK$47,B$25,$D50:$BK50)</f>
        <v>2211730.74260497</v>
      </c>
      <c r="C27" s="39" t="n">
        <f aca="false">SUMIF($D$47:$BK$47,C$25,$D50:$BK50)</f>
        <v>2943028.81072436</v>
      </c>
      <c r="D27" s="39" t="n">
        <f aca="false">SUMIF($D$47:$BK$47,D$25,$D50:$BK50)</f>
        <v>3032211.50195843</v>
      </c>
      <c r="E27" s="39" t="n">
        <f aca="false">SUMIF($D$47:$BK$47,E$25,$D50:$BK50)</f>
        <v>3032211.50195843</v>
      </c>
      <c r="F27" s="39" t="n">
        <f aca="false">SUMIF($D$47:$BK$47,F$25,$D50:$BK50)</f>
        <v>3032211.50195843</v>
      </c>
    </row>
    <row r="28" customFormat="false" ht="15" hidden="false" customHeight="false" outlineLevel="0" collapsed="false">
      <c r="A28" s="5" t="s">
        <v>60</v>
      </c>
      <c r="B28" s="39" t="n">
        <f aca="false">SUMIF($D$47:$BK$47,B$25,$D51:$BK51)</f>
        <v>87742.7919696732</v>
      </c>
      <c r="C28" s="39" t="n">
        <f aca="false">SUMIF($D$47:$BK$47,C$25,$D51:$BK51)</f>
        <v>116754.521572549</v>
      </c>
      <c r="D28" s="39" t="n">
        <f aca="false">SUMIF($D$47:$BK$47,D$25,$D51:$BK51)</f>
        <v>120292.537377778</v>
      </c>
      <c r="E28" s="39" t="n">
        <f aca="false">SUMIF($D$47:$BK$47,E$25,$D51:$BK51)</f>
        <v>120292.537377778</v>
      </c>
      <c r="F28" s="39" t="n">
        <f aca="false">SUMIF($D$47:$BK$47,F$25,$D51:$BK51)</f>
        <v>120292.537377778</v>
      </c>
    </row>
    <row r="29" customFormat="false" ht="15" hidden="false" customHeight="false" outlineLevel="0" collapsed="false">
      <c r="A29" s="5" t="s">
        <v>185</v>
      </c>
      <c r="B29" s="39" t="n">
        <f aca="false">SUMIF($D$47:$BK$47,B$25,$D52:$BK52)</f>
        <v>1023371.07166242</v>
      </c>
      <c r="C29" s="39" t="n">
        <f aca="false">SUMIF($D$47:$BK$47,C$25,$D52:$BK52)</f>
        <v>1167545.21572549</v>
      </c>
      <c r="D29" s="39" t="n">
        <f aca="false">SUMIF($D$47:$BK$47,D$25,$D52:$BK52)</f>
        <v>1202925.37377778</v>
      </c>
      <c r="E29" s="39" t="n">
        <f aca="false">SUMIF($D$47:$BK$47,E$25,$D52:$BK52)</f>
        <v>1202925.37377778</v>
      </c>
      <c r="F29" s="39" t="n">
        <f aca="false">SUMIF($D$47:$BK$47,F$25,$D52:$BK52)</f>
        <v>1202925.37377778</v>
      </c>
    </row>
    <row r="30" customFormat="false" ht="15" hidden="false" customHeight="false" outlineLevel="0" collapsed="false">
      <c r="A30" s="5" t="s">
        <v>69</v>
      </c>
      <c r="B30" s="39" t="n">
        <f aca="false">SUMIF($D$47:$BK$47,B$25,$D53:$BK53)</f>
        <v>480000</v>
      </c>
      <c r="C30" s="39" t="n">
        <f aca="false">SUMIF($D$47:$BK$47,C$25,$D53:$BK53)</f>
        <v>480000</v>
      </c>
      <c r="D30" s="39" t="n">
        <f aca="false">SUMIF($D$47:$BK$47,D$25,$D53:$BK53)</f>
        <v>480000</v>
      </c>
      <c r="E30" s="39" t="n">
        <f aca="false">SUMIF($D$47:$BK$47,E$25,$D53:$BK53)</f>
        <v>480000</v>
      </c>
      <c r="F30" s="39" t="n">
        <f aca="false">SUMIF($D$47:$BK$47,F$25,$D53:$BK53)</f>
        <v>480000</v>
      </c>
    </row>
    <row r="31" customFormat="false" ht="15" hidden="false" customHeight="false" outlineLevel="0" collapsed="false">
      <c r="A31" s="5" t="s">
        <v>72</v>
      </c>
      <c r="B31" s="39" t="n">
        <f aca="false">SUMIF($D$47:$BK$47,B$25,$D54:$BK54)</f>
        <v>369443.33460915</v>
      </c>
      <c r="C31" s="39" t="n">
        <f aca="false">SUMIF($D$47:$BK$47,C$25,$D54:$BK54)</f>
        <v>491597.985568627</v>
      </c>
      <c r="D31" s="39" t="n">
        <f aca="false">SUMIF($D$47:$BK$47,D$25,$D54:$BK54)</f>
        <v>506494.894222222</v>
      </c>
      <c r="E31" s="39" t="n">
        <f aca="false">SUMIF($D$47:$BK$47,E$25,$D54:$BK54)</f>
        <v>506494.894222222</v>
      </c>
      <c r="F31" s="39" t="n">
        <f aca="false">SUMIF($D$47:$BK$47,F$25,$D54:$BK54)</f>
        <v>506494.894222222</v>
      </c>
    </row>
    <row r="32" customFormat="false" ht="15" hidden="false" customHeight="false" outlineLevel="0" collapsed="false">
      <c r="A32" s="40" t="s">
        <v>186</v>
      </c>
      <c r="B32" s="42" t="n">
        <f aca="false">SUMIF($D$47:$BK$47,B$25,$D55:$BK55)</f>
        <v>251173.54436373</v>
      </c>
      <c r="C32" s="42" t="n">
        <f aca="false">SUMIF($D$47:$BK$47,C$25,$D55:$BK55)</f>
        <v>687131.087857691</v>
      </c>
      <c r="D32" s="42" t="n">
        <f aca="false">SUMIF($D$47:$BK$47,D$25,$D55:$BK55)</f>
        <v>722498.696580651</v>
      </c>
      <c r="E32" s="42" t="n">
        <f aca="false">SUMIF($D$47:$BK$47,E$25,$D55:$BK55)</f>
        <v>722498.696580651</v>
      </c>
      <c r="F32" s="42" t="n">
        <f aca="false">SUMIF($D$47:$BK$47,F$25,$D55:$BK55)</f>
        <v>722498.696580651</v>
      </c>
    </row>
    <row r="33" customFormat="false" ht="15" hidden="false" customHeight="false" outlineLevel="0" collapsed="false">
      <c r="A33" s="5" t="s">
        <v>187</v>
      </c>
      <c r="B33" s="37" t="n">
        <f aca="false">IF(B26=0,0,B32/B26)</f>
        <v>0.0543896226206288</v>
      </c>
      <c r="C33" s="37" t="n">
        <f aca="false">IF(C26=0,0,C32/C26)</f>
        <v>0.111820000574314</v>
      </c>
      <c r="D33" s="37" t="n">
        <f aca="false">IF(D26=0,0,D32/D26)</f>
        <v>0.11411743017708</v>
      </c>
      <c r="E33" s="37" t="n">
        <f aca="false">IF(E26=0,0,E32/E26)</f>
        <v>0.11411743017708</v>
      </c>
      <c r="F33" s="37" t="n">
        <f aca="false">IF(F26=0,0,F32/F26)</f>
        <v>0.11411743017708</v>
      </c>
    </row>
    <row r="34" customFormat="false" ht="15" hidden="false" customHeight="false" outlineLevel="0" collapsed="false">
      <c r="A34" s="5" t="s">
        <v>188</v>
      </c>
      <c r="B34" s="39" t="n">
        <f aca="false">INDEX($D58:$BK58,MATCH(B25*12,$D$46:$BK$46,0))</f>
        <v>-2098826.45563627</v>
      </c>
      <c r="C34" s="39" t="n">
        <f aca="false">INDEX($D58:$BK58,MATCH(C25*12,$D$46:$BK$46,0))</f>
        <v>-1411695.36777858</v>
      </c>
      <c r="D34" s="39" t="n">
        <f aca="false">INDEX($D58:$BK58,MATCH(D25*12,$D$46:$BK$46,0))</f>
        <v>-689196.671197928</v>
      </c>
      <c r="E34" s="39" t="n">
        <f aca="false">INDEX($D58:$BK58,MATCH(E25*12,$D$46:$BK$46,0))</f>
        <v>33302.0253827232</v>
      </c>
      <c r="F34" s="39" t="n">
        <f aca="false">INDEX($D58:$BK58,MATCH(F25*12,$D$46:$BK$46,0))</f>
        <v>755800.721963374</v>
      </c>
    </row>
    <row r="36" customFormat="false" ht="15" hidden="false" customHeight="false" outlineLevel="0" collapsed="false">
      <c r="A36" s="3" t="s">
        <v>189</v>
      </c>
      <c r="B36" s="4"/>
      <c r="C36" s="4"/>
      <c r="D36" s="4"/>
      <c r="E36" s="4"/>
      <c r="F36" s="4"/>
    </row>
    <row r="37" customFormat="false" ht="15" hidden="false" customHeight="false" outlineLevel="0" collapsed="false">
      <c r="A37" s="2" t="s">
        <v>190</v>
      </c>
    </row>
    <row r="38" customFormat="false" ht="15" hidden="false" customHeight="false" outlineLevel="0" collapsed="false">
      <c r="A38" s="9" t="s">
        <v>191</v>
      </c>
      <c r="B38" s="54" t="n">
        <f aca="false">ns_gm-0.02</f>
        <v>0.458932607068384</v>
      </c>
      <c r="C38" s="54" t="n">
        <f aca="false">ns_gm-0.01</f>
        <v>0.468932607068384</v>
      </c>
      <c r="D38" s="54" t="n">
        <f aca="false">ns_gm</f>
        <v>0.478932607068384</v>
      </c>
      <c r="E38" s="54" t="n">
        <f aca="false">ns_gm+0.01</f>
        <v>0.488932607068384</v>
      </c>
      <c r="F38" s="54" t="n">
        <f aca="false">ns_gm+0.02</f>
        <v>0.498932607068384</v>
      </c>
    </row>
    <row r="39" customFormat="false" ht="15" hidden="false" customHeight="false" outlineLevel="0" collapsed="false">
      <c r="A39" s="55" t="n">
        <f aca="false">prod-0.2</f>
        <v>0.8</v>
      </c>
      <c r="B39" s="56" t="n">
        <f aca="false">$B$5*$B$8*$A39*(B$38-waste_pct-labor_pct-other_pct)-$B$5*rent_psf</f>
        <v>380699.978420076</v>
      </c>
      <c r="C39" s="56" t="n">
        <f aca="false">$B$5*$B$8*$A39*(C$38-waste_pct-labor_pct-other_pct)-$B$5*rent_psf</f>
        <v>431349.467842299</v>
      </c>
      <c r="D39" s="56" t="n">
        <f aca="false">$B$5*$B$8*$A39*(D$38-waste_pct-labor_pct-other_pct)-$B$5*rent_psf</f>
        <v>481998.957264521</v>
      </c>
      <c r="E39" s="56" t="n">
        <f aca="false">$B$5*$B$8*$A39*(E$38-waste_pct-labor_pct-other_pct)-$B$5*rent_psf</f>
        <v>532648.446686743</v>
      </c>
      <c r="F39" s="56" t="n">
        <f aca="false">$B$5*$B$8*$A39*(F$38-waste_pct-labor_pct-other_pct)-$B$5*rent_psf</f>
        <v>583297.936108965</v>
      </c>
    </row>
    <row r="40" customFormat="false" ht="15" hidden="false" customHeight="false" outlineLevel="0" collapsed="false">
      <c r="A40" s="55" t="n">
        <f aca="false">prod-0.1</f>
        <v>0.9</v>
      </c>
      <c r="B40" s="56" t="n">
        <f aca="false">$B$5*$B$8*$A40*(B$38-waste_pct-labor_pct-other_pct)-$B$5*rent_psf</f>
        <v>488287.475722586</v>
      </c>
      <c r="C40" s="56" t="n">
        <f aca="false">$B$5*$B$8*$A40*(C$38-waste_pct-labor_pct-other_pct)-$B$5*rent_psf</f>
        <v>545268.151322586</v>
      </c>
      <c r="D40" s="56" t="n">
        <f aca="false">$B$5*$B$8*$A40*(D$38-waste_pct-labor_pct-other_pct)-$B$5*rent_psf</f>
        <v>602248.826922586</v>
      </c>
      <c r="E40" s="56" t="n">
        <f aca="false">$B$5*$B$8*$A40*(E$38-waste_pct-labor_pct-other_pct)-$B$5*rent_psf</f>
        <v>659229.502522586</v>
      </c>
      <c r="F40" s="56" t="n">
        <f aca="false">$B$5*$B$8*$A40*(F$38-waste_pct-labor_pct-other_pct)-$B$5*rent_psf</f>
        <v>716210.178122586</v>
      </c>
    </row>
    <row r="41" customFormat="false" ht="15" hidden="false" customHeight="false" outlineLevel="0" collapsed="false">
      <c r="A41" s="55" t="n">
        <f aca="false">prod</f>
        <v>1</v>
      </c>
      <c r="B41" s="56" t="n">
        <f aca="false">$B$5*$B$8*$A41*(B$38-waste_pct-labor_pct-other_pct)-$B$5*rent_psf</f>
        <v>595874.973025095</v>
      </c>
      <c r="C41" s="56" t="n">
        <f aca="false">$B$5*$B$8*$A41*(C$38-waste_pct-labor_pct-other_pct)-$B$5*rent_psf</f>
        <v>659186.834802873</v>
      </c>
      <c r="D41" s="57" t="n">
        <f aca="false">$B$5*$B$8*$A41*(D$38-waste_pct-labor_pct-other_pct)-$B$5*rent_psf</f>
        <v>722498.696580651</v>
      </c>
      <c r="E41" s="56" t="n">
        <f aca="false">$B$5*$B$8*$A41*(E$38-waste_pct-labor_pct-other_pct)-$B$5*rent_psf</f>
        <v>785810.558358429</v>
      </c>
      <c r="F41" s="56" t="n">
        <f aca="false">$B$5*$B$8*$A41*(F$38-waste_pct-labor_pct-other_pct)-$B$5*rent_psf</f>
        <v>849122.420136207</v>
      </c>
    </row>
    <row r="42" customFormat="false" ht="15" hidden="false" customHeight="false" outlineLevel="0" collapsed="false">
      <c r="A42" s="55" t="n">
        <f aca="false">prod+0.1</f>
        <v>1.1</v>
      </c>
      <c r="B42" s="56" t="n">
        <f aca="false">$B$5*$B$8*$A42*(B$38-waste_pct-labor_pct-other_pct)-$B$5*rent_psf</f>
        <v>703462.470327605</v>
      </c>
      <c r="C42" s="56" t="n">
        <f aca="false">$B$5*$B$8*$A42*(C$38-waste_pct-labor_pct-other_pct)-$B$5*rent_psf</f>
        <v>773105.518283161</v>
      </c>
      <c r="D42" s="56" t="n">
        <f aca="false">$B$5*$B$8*$A42*(D$38-waste_pct-labor_pct-other_pct)-$B$5*rent_psf</f>
        <v>842748.566238716</v>
      </c>
      <c r="E42" s="56" t="n">
        <f aca="false">$B$5*$B$8*$A42*(E$38-waste_pct-labor_pct-other_pct)-$B$5*rent_psf</f>
        <v>912391.614194272</v>
      </c>
      <c r="F42" s="56" t="n">
        <f aca="false">$B$5*$B$8*$A42*(F$38-waste_pct-labor_pct-other_pct)-$B$5*rent_psf</f>
        <v>982034.662149828</v>
      </c>
    </row>
    <row r="43" customFormat="false" ht="15" hidden="false" customHeight="false" outlineLevel="0" collapsed="false">
      <c r="A43" s="55" t="n">
        <f aca="false">prod+0.2</f>
        <v>1.2</v>
      </c>
      <c r="B43" s="56" t="n">
        <f aca="false">$B$5*$B$8*$A43*(B$38-waste_pct-labor_pct-other_pct)-$B$5*rent_psf</f>
        <v>811049.967630114</v>
      </c>
      <c r="C43" s="56" t="n">
        <f aca="false">$B$5*$B$8*$A43*(C$38-waste_pct-labor_pct-other_pct)-$B$5*rent_psf</f>
        <v>887024.201763448</v>
      </c>
      <c r="D43" s="56" t="n">
        <f aca="false">$B$5*$B$8*$A43*(D$38-waste_pct-labor_pct-other_pct)-$B$5*rent_psf</f>
        <v>962998.435896781</v>
      </c>
      <c r="E43" s="56" t="n">
        <f aca="false">$B$5*$B$8*$A43*(E$38-waste_pct-labor_pct-other_pct)-$B$5*rent_psf</f>
        <v>1038972.67003011</v>
      </c>
      <c r="F43" s="56" t="n">
        <f aca="false">$B$5*$B$8*$A43*(F$38-waste_pct-labor_pct-other_pct)-$B$5*rent_psf</f>
        <v>1114946.90416345</v>
      </c>
    </row>
    <row r="45" customFormat="false" ht="15" hidden="false" customHeight="false" outlineLevel="0" collapsed="false">
      <c r="A45" s="3" t="s">
        <v>192</v>
      </c>
      <c r="B45" s="4"/>
      <c r="C45" s="4"/>
      <c r="D45" s="4"/>
      <c r="E45" s="4"/>
      <c r="F45" s="4"/>
    </row>
    <row r="46" customFormat="false" ht="15" hidden="false" customHeight="false" outlineLevel="0" collapsed="false">
      <c r="A46" s="9" t="s">
        <v>193</v>
      </c>
      <c r="C46" s="58" t="n">
        <v>0</v>
      </c>
      <c r="D46" s="59" t="n">
        <f aca="false">C46+1</f>
        <v>1</v>
      </c>
      <c r="E46" s="59" t="n">
        <f aca="false">D46+1</f>
        <v>2</v>
      </c>
      <c r="F46" s="59" t="n">
        <f aca="false">E46+1</f>
        <v>3</v>
      </c>
      <c r="G46" s="59" t="n">
        <f aca="false">F46+1</f>
        <v>4</v>
      </c>
      <c r="H46" s="59" t="n">
        <f aca="false">G46+1</f>
        <v>5</v>
      </c>
      <c r="I46" s="59" t="n">
        <f aca="false">H46+1</f>
        <v>6</v>
      </c>
      <c r="J46" s="59" t="n">
        <f aca="false">I46+1</f>
        <v>7</v>
      </c>
      <c r="K46" s="59" t="n">
        <f aca="false">J46+1</f>
        <v>8</v>
      </c>
      <c r="L46" s="59" t="n">
        <f aca="false">K46+1</f>
        <v>9</v>
      </c>
      <c r="M46" s="59" t="n">
        <f aca="false">L46+1</f>
        <v>10</v>
      </c>
      <c r="N46" s="59" t="n">
        <f aca="false">M46+1</f>
        <v>11</v>
      </c>
      <c r="O46" s="59" t="n">
        <f aca="false">N46+1</f>
        <v>12</v>
      </c>
      <c r="P46" s="59" t="n">
        <f aca="false">O46+1</f>
        <v>13</v>
      </c>
      <c r="Q46" s="59" t="n">
        <f aca="false">P46+1</f>
        <v>14</v>
      </c>
      <c r="R46" s="59" t="n">
        <f aca="false">Q46+1</f>
        <v>15</v>
      </c>
      <c r="S46" s="59" t="n">
        <f aca="false">R46+1</f>
        <v>16</v>
      </c>
      <c r="T46" s="59" t="n">
        <f aca="false">S46+1</f>
        <v>17</v>
      </c>
      <c r="U46" s="59" t="n">
        <f aca="false">T46+1</f>
        <v>18</v>
      </c>
      <c r="V46" s="59" t="n">
        <f aca="false">U46+1</f>
        <v>19</v>
      </c>
      <c r="W46" s="59" t="n">
        <f aca="false">V46+1</f>
        <v>20</v>
      </c>
      <c r="X46" s="59" t="n">
        <f aca="false">W46+1</f>
        <v>21</v>
      </c>
      <c r="Y46" s="59" t="n">
        <f aca="false">X46+1</f>
        <v>22</v>
      </c>
      <c r="Z46" s="59" t="n">
        <f aca="false">Y46+1</f>
        <v>23</v>
      </c>
      <c r="AA46" s="59" t="n">
        <f aca="false">Z46+1</f>
        <v>24</v>
      </c>
      <c r="AB46" s="59" t="n">
        <f aca="false">AA46+1</f>
        <v>25</v>
      </c>
      <c r="AC46" s="59" t="n">
        <f aca="false">AB46+1</f>
        <v>26</v>
      </c>
      <c r="AD46" s="59" t="n">
        <f aca="false">AC46+1</f>
        <v>27</v>
      </c>
      <c r="AE46" s="59" t="n">
        <f aca="false">AD46+1</f>
        <v>28</v>
      </c>
      <c r="AF46" s="59" t="n">
        <f aca="false">AE46+1</f>
        <v>29</v>
      </c>
      <c r="AG46" s="59" t="n">
        <f aca="false">AF46+1</f>
        <v>30</v>
      </c>
      <c r="AH46" s="59" t="n">
        <f aca="false">AG46+1</f>
        <v>31</v>
      </c>
      <c r="AI46" s="59" t="n">
        <f aca="false">AH46+1</f>
        <v>32</v>
      </c>
      <c r="AJ46" s="59" t="n">
        <f aca="false">AI46+1</f>
        <v>33</v>
      </c>
      <c r="AK46" s="59" t="n">
        <f aca="false">AJ46+1</f>
        <v>34</v>
      </c>
      <c r="AL46" s="59" t="n">
        <f aca="false">AK46+1</f>
        <v>35</v>
      </c>
      <c r="AM46" s="59" t="n">
        <f aca="false">AL46+1</f>
        <v>36</v>
      </c>
      <c r="AN46" s="59" t="n">
        <f aca="false">AM46+1</f>
        <v>37</v>
      </c>
      <c r="AO46" s="59" t="n">
        <f aca="false">AN46+1</f>
        <v>38</v>
      </c>
      <c r="AP46" s="59" t="n">
        <f aca="false">AO46+1</f>
        <v>39</v>
      </c>
      <c r="AQ46" s="59" t="n">
        <f aca="false">AP46+1</f>
        <v>40</v>
      </c>
      <c r="AR46" s="59" t="n">
        <f aca="false">AQ46+1</f>
        <v>41</v>
      </c>
      <c r="AS46" s="59" t="n">
        <f aca="false">AR46+1</f>
        <v>42</v>
      </c>
      <c r="AT46" s="59" t="n">
        <f aca="false">AS46+1</f>
        <v>43</v>
      </c>
      <c r="AU46" s="59" t="n">
        <f aca="false">AT46+1</f>
        <v>44</v>
      </c>
      <c r="AV46" s="59" t="n">
        <f aca="false">AU46+1</f>
        <v>45</v>
      </c>
      <c r="AW46" s="59" t="n">
        <f aca="false">AV46+1</f>
        <v>46</v>
      </c>
      <c r="AX46" s="59" t="n">
        <f aca="false">AW46+1</f>
        <v>47</v>
      </c>
      <c r="AY46" s="59" t="n">
        <f aca="false">AX46+1</f>
        <v>48</v>
      </c>
      <c r="AZ46" s="59" t="n">
        <f aca="false">AY46+1</f>
        <v>49</v>
      </c>
      <c r="BA46" s="59" t="n">
        <f aca="false">AZ46+1</f>
        <v>50</v>
      </c>
      <c r="BB46" s="59" t="n">
        <f aca="false">BA46+1</f>
        <v>51</v>
      </c>
      <c r="BC46" s="59" t="n">
        <f aca="false">BB46+1</f>
        <v>52</v>
      </c>
      <c r="BD46" s="59" t="n">
        <f aca="false">BC46+1</f>
        <v>53</v>
      </c>
      <c r="BE46" s="59" t="n">
        <f aca="false">BD46+1</f>
        <v>54</v>
      </c>
      <c r="BF46" s="59" t="n">
        <f aca="false">BE46+1</f>
        <v>55</v>
      </c>
      <c r="BG46" s="59" t="n">
        <f aca="false">BF46+1</f>
        <v>56</v>
      </c>
      <c r="BH46" s="59" t="n">
        <f aca="false">BG46+1</f>
        <v>57</v>
      </c>
      <c r="BI46" s="59" t="n">
        <f aca="false">BH46+1</f>
        <v>58</v>
      </c>
      <c r="BJ46" s="59" t="n">
        <f aca="false">BI46+1</f>
        <v>59</v>
      </c>
      <c r="BK46" s="59" t="n">
        <f aca="false">BJ46+1</f>
        <v>60</v>
      </c>
    </row>
    <row r="47" customFormat="false" ht="15" hidden="false" customHeight="false" outlineLevel="0" collapsed="false">
      <c r="A47" s="5" t="s">
        <v>194</v>
      </c>
      <c r="C47" s="60" t="n">
        <v>0</v>
      </c>
      <c r="D47" s="61" t="n">
        <f aca="false">ROUNDUP(D46/12,0)</f>
        <v>1</v>
      </c>
      <c r="E47" s="61" t="n">
        <f aca="false">ROUNDUP(E46/12,0)</f>
        <v>1</v>
      </c>
      <c r="F47" s="61" t="n">
        <f aca="false">ROUNDUP(F46/12,0)</f>
        <v>1</v>
      </c>
      <c r="G47" s="61" t="n">
        <f aca="false">ROUNDUP(G46/12,0)</f>
        <v>1</v>
      </c>
      <c r="H47" s="61" t="n">
        <f aca="false">ROUNDUP(H46/12,0)</f>
        <v>1</v>
      </c>
      <c r="I47" s="61" t="n">
        <f aca="false">ROUNDUP(I46/12,0)</f>
        <v>1</v>
      </c>
      <c r="J47" s="61" t="n">
        <f aca="false">ROUNDUP(J46/12,0)</f>
        <v>1</v>
      </c>
      <c r="K47" s="61" t="n">
        <f aca="false">ROUNDUP(K46/12,0)</f>
        <v>1</v>
      </c>
      <c r="L47" s="61" t="n">
        <f aca="false">ROUNDUP(L46/12,0)</f>
        <v>1</v>
      </c>
      <c r="M47" s="61" t="n">
        <f aca="false">ROUNDUP(M46/12,0)</f>
        <v>1</v>
      </c>
      <c r="N47" s="61" t="n">
        <f aca="false">ROUNDUP(N46/12,0)</f>
        <v>1</v>
      </c>
      <c r="O47" s="61" t="n">
        <f aca="false">ROUNDUP(O46/12,0)</f>
        <v>1</v>
      </c>
      <c r="P47" s="61" t="n">
        <f aca="false">ROUNDUP(P46/12,0)</f>
        <v>2</v>
      </c>
      <c r="Q47" s="61" t="n">
        <f aca="false">ROUNDUP(Q46/12,0)</f>
        <v>2</v>
      </c>
      <c r="R47" s="61" t="n">
        <f aca="false">ROUNDUP(R46/12,0)</f>
        <v>2</v>
      </c>
      <c r="S47" s="61" t="n">
        <f aca="false">ROUNDUP(S46/12,0)</f>
        <v>2</v>
      </c>
      <c r="T47" s="61" t="n">
        <f aca="false">ROUNDUP(T46/12,0)</f>
        <v>2</v>
      </c>
      <c r="U47" s="61" t="n">
        <f aca="false">ROUNDUP(U46/12,0)</f>
        <v>2</v>
      </c>
      <c r="V47" s="61" t="n">
        <f aca="false">ROUNDUP(V46/12,0)</f>
        <v>2</v>
      </c>
      <c r="W47" s="61" t="n">
        <f aca="false">ROUNDUP(W46/12,0)</f>
        <v>2</v>
      </c>
      <c r="X47" s="61" t="n">
        <f aca="false">ROUNDUP(X46/12,0)</f>
        <v>2</v>
      </c>
      <c r="Y47" s="61" t="n">
        <f aca="false">ROUNDUP(Y46/12,0)</f>
        <v>2</v>
      </c>
      <c r="Z47" s="61" t="n">
        <f aca="false">ROUNDUP(Z46/12,0)</f>
        <v>2</v>
      </c>
      <c r="AA47" s="61" t="n">
        <f aca="false">ROUNDUP(AA46/12,0)</f>
        <v>2</v>
      </c>
      <c r="AB47" s="61" t="n">
        <f aca="false">ROUNDUP(AB46/12,0)</f>
        <v>3</v>
      </c>
      <c r="AC47" s="61" t="n">
        <f aca="false">ROUNDUP(AC46/12,0)</f>
        <v>3</v>
      </c>
      <c r="AD47" s="61" t="n">
        <f aca="false">ROUNDUP(AD46/12,0)</f>
        <v>3</v>
      </c>
      <c r="AE47" s="61" t="n">
        <f aca="false">ROUNDUP(AE46/12,0)</f>
        <v>3</v>
      </c>
      <c r="AF47" s="61" t="n">
        <f aca="false">ROUNDUP(AF46/12,0)</f>
        <v>3</v>
      </c>
      <c r="AG47" s="61" t="n">
        <f aca="false">ROUNDUP(AG46/12,0)</f>
        <v>3</v>
      </c>
      <c r="AH47" s="61" t="n">
        <f aca="false">ROUNDUP(AH46/12,0)</f>
        <v>3</v>
      </c>
      <c r="AI47" s="61" t="n">
        <f aca="false">ROUNDUP(AI46/12,0)</f>
        <v>3</v>
      </c>
      <c r="AJ47" s="61" t="n">
        <f aca="false">ROUNDUP(AJ46/12,0)</f>
        <v>3</v>
      </c>
      <c r="AK47" s="61" t="n">
        <f aca="false">ROUNDUP(AK46/12,0)</f>
        <v>3</v>
      </c>
      <c r="AL47" s="61" t="n">
        <f aca="false">ROUNDUP(AL46/12,0)</f>
        <v>3</v>
      </c>
      <c r="AM47" s="61" t="n">
        <f aca="false">ROUNDUP(AM46/12,0)</f>
        <v>3</v>
      </c>
      <c r="AN47" s="61" t="n">
        <f aca="false">ROUNDUP(AN46/12,0)</f>
        <v>4</v>
      </c>
      <c r="AO47" s="61" t="n">
        <f aca="false">ROUNDUP(AO46/12,0)</f>
        <v>4</v>
      </c>
      <c r="AP47" s="61" t="n">
        <f aca="false">ROUNDUP(AP46/12,0)</f>
        <v>4</v>
      </c>
      <c r="AQ47" s="61" t="n">
        <f aca="false">ROUNDUP(AQ46/12,0)</f>
        <v>4</v>
      </c>
      <c r="AR47" s="61" t="n">
        <f aca="false">ROUNDUP(AR46/12,0)</f>
        <v>4</v>
      </c>
      <c r="AS47" s="61" t="n">
        <f aca="false">ROUNDUP(AS46/12,0)</f>
        <v>4</v>
      </c>
      <c r="AT47" s="61" t="n">
        <f aca="false">ROUNDUP(AT46/12,0)</f>
        <v>4</v>
      </c>
      <c r="AU47" s="61" t="n">
        <f aca="false">ROUNDUP(AU46/12,0)</f>
        <v>4</v>
      </c>
      <c r="AV47" s="61" t="n">
        <f aca="false">ROUNDUP(AV46/12,0)</f>
        <v>4</v>
      </c>
      <c r="AW47" s="61" t="n">
        <f aca="false">ROUNDUP(AW46/12,0)</f>
        <v>4</v>
      </c>
      <c r="AX47" s="61" t="n">
        <f aca="false">ROUNDUP(AX46/12,0)</f>
        <v>4</v>
      </c>
      <c r="AY47" s="61" t="n">
        <f aca="false">ROUNDUP(AY46/12,0)</f>
        <v>4</v>
      </c>
      <c r="AZ47" s="61" t="n">
        <f aca="false">ROUNDUP(AZ46/12,0)</f>
        <v>5</v>
      </c>
      <c r="BA47" s="61" t="n">
        <f aca="false">ROUNDUP(BA46/12,0)</f>
        <v>5</v>
      </c>
      <c r="BB47" s="61" t="n">
        <f aca="false">ROUNDUP(BB46/12,0)</f>
        <v>5</v>
      </c>
      <c r="BC47" s="61" t="n">
        <f aca="false">ROUNDUP(BC46/12,0)</f>
        <v>5</v>
      </c>
      <c r="BD47" s="61" t="n">
        <f aca="false">ROUNDUP(BD46/12,0)</f>
        <v>5</v>
      </c>
      <c r="BE47" s="61" t="n">
        <f aca="false">ROUNDUP(BE46/12,0)</f>
        <v>5</v>
      </c>
      <c r="BF47" s="61" t="n">
        <f aca="false">ROUNDUP(BF46/12,0)</f>
        <v>5</v>
      </c>
      <c r="BG47" s="61" t="n">
        <f aca="false">ROUNDUP(BG46/12,0)</f>
        <v>5</v>
      </c>
      <c r="BH47" s="61" t="n">
        <f aca="false">ROUNDUP(BH46/12,0)</f>
        <v>5</v>
      </c>
      <c r="BI47" s="61" t="n">
        <f aca="false">ROUNDUP(BI46/12,0)</f>
        <v>5</v>
      </c>
      <c r="BJ47" s="61" t="n">
        <f aca="false">ROUNDUP(BJ46/12,0)</f>
        <v>5</v>
      </c>
      <c r="BK47" s="61" t="n">
        <f aca="false">ROUNDUP(BK46/12,0)</f>
        <v>5</v>
      </c>
    </row>
    <row r="48" customFormat="false" ht="15" hidden="false" customHeight="false" outlineLevel="0" collapsed="false">
      <c r="A48" s="5" t="s">
        <v>195</v>
      </c>
      <c r="D48" s="62" t="n">
        <f aca="false">IF(D$46&gt;=ramp_months,1,ramp_start+(1-ramp_start)*(D$46-1)/MAX(1,ramp_months-1))</f>
        <v>0.6</v>
      </c>
      <c r="E48" s="62" t="n">
        <f aca="false">IF(E$46&gt;=ramp_months,1,ramp_start+(1-ramp_start)*(E$46-1)/MAX(1,ramp_months-1))</f>
        <v>0.623529411764706</v>
      </c>
      <c r="F48" s="62" t="n">
        <f aca="false">IF(F$46&gt;=ramp_months,1,ramp_start+(1-ramp_start)*(F$46-1)/MAX(1,ramp_months-1))</f>
        <v>0.647058823529412</v>
      </c>
      <c r="G48" s="62" t="n">
        <f aca="false">IF(G$46&gt;=ramp_months,1,ramp_start+(1-ramp_start)*(G$46-1)/MAX(1,ramp_months-1))</f>
        <v>0.670588235294118</v>
      </c>
      <c r="H48" s="62" t="n">
        <f aca="false">IF(H$46&gt;=ramp_months,1,ramp_start+(1-ramp_start)*(H$46-1)/MAX(1,ramp_months-1))</f>
        <v>0.694117647058824</v>
      </c>
      <c r="I48" s="62" t="n">
        <f aca="false">IF(I$46&gt;=ramp_months,1,ramp_start+(1-ramp_start)*(I$46-1)/MAX(1,ramp_months-1))</f>
        <v>0.717647058823529</v>
      </c>
      <c r="J48" s="62" t="n">
        <f aca="false">IF(J$46&gt;=ramp_months,1,ramp_start+(1-ramp_start)*(J$46-1)/MAX(1,ramp_months-1))</f>
        <v>0.741176470588235</v>
      </c>
      <c r="K48" s="62" t="n">
        <f aca="false">IF(K$46&gt;=ramp_months,1,ramp_start+(1-ramp_start)*(K$46-1)/MAX(1,ramp_months-1))</f>
        <v>0.764705882352941</v>
      </c>
      <c r="L48" s="62" t="n">
        <f aca="false">IF(L$46&gt;=ramp_months,1,ramp_start+(1-ramp_start)*(L$46-1)/MAX(1,ramp_months-1))</f>
        <v>0.788235294117647</v>
      </c>
      <c r="M48" s="62" t="n">
        <f aca="false">IF(M$46&gt;=ramp_months,1,ramp_start+(1-ramp_start)*(M$46-1)/MAX(1,ramp_months-1))</f>
        <v>0.811764705882353</v>
      </c>
      <c r="N48" s="62" t="n">
        <f aca="false">IF(N$46&gt;=ramp_months,1,ramp_start+(1-ramp_start)*(N$46-1)/MAX(1,ramp_months-1))</f>
        <v>0.835294117647059</v>
      </c>
      <c r="O48" s="62" t="n">
        <f aca="false">IF(O$46&gt;=ramp_months,1,ramp_start+(1-ramp_start)*(O$46-1)/MAX(1,ramp_months-1))</f>
        <v>0.858823529411765</v>
      </c>
      <c r="P48" s="62" t="n">
        <f aca="false">IF(P$46&gt;=ramp_months,1,ramp_start+(1-ramp_start)*(P$46-1)/MAX(1,ramp_months-1))</f>
        <v>0.882352941176471</v>
      </c>
      <c r="Q48" s="62" t="n">
        <f aca="false">IF(Q$46&gt;=ramp_months,1,ramp_start+(1-ramp_start)*(Q$46-1)/MAX(1,ramp_months-1))</f>
        <v>0.905882352941177</v>
      </c>
      <c r="R48" s="62" t="n">
        <f aca="false">IF(R$46&gt;=ramp_months,1,ramp_start+(1-ramp_start)*(R$46-1)/MAX(1,ramp_months-1))</f>
        <v>0.929411764705882</v>
      </c>
      <c r="S48" s="62" t="n">
        <f aca="false">IF(S$46&gt;=ramp_months,1,ramp_start+(1-ramp_start)*(S$46-1)/MAX(1,ramp_months-1))</f>
        <v>0.952941176470588</v>
      </c>
      <c r="T48" s="62" t="n">
        <f aca="false">IF(T$46&gt;=ramp_months,1,ramp_start+(1-ramp_start)*(T$46-1)/MAX(1,ramp_months-1))</f>
        <v>0.976470588235294</v>
      </c>
      <c r="U48" s="62" t="n">
        <f aca="false">IF(U$46&gt;=ramp_months,1,ramp_start+(1-ramp_start)*(U$46-1)/MAX(1,ramp_months-1))</f>
        <v>1</v>
      </c>
      <c r="V48" s="62" t="n">
        <f aca="false">IF(V$46&gt;=ramp_months,1,ramp_start+(1-ramp_start)*(V$46-1)/MAX(1,ramp_months-1))</f>
        <v>1</v>
      </c>
      <c r="W48" s="62" t="n">
        <f aca="false">IF(W$46&gt;=ramp_months,1,ramp_start+(1-ramp_start)*(W$46-1)/MAX(1,ramp_months-1))</f>
        <v>1</v>
      </c>
      <c r="X48" s="62" t="n">
        <f aca="false">IF(X$46&gt;=ramp_months,1,ramp_start+(1-ramp_start)*(X$46-1)/MAX(1,ramp_months-1))</f>
        <v>1</v>
      </c>
      <c r="Y48" s="62" t="n">
        <f aca="false">IF(Y$46&gt;=ramp_months,1,ramp_start+(1-ramp_start)*(Y$46-1)/MAX(1,ramp_months-1))</f>
        <v>1</v>
      </c>
      <c r="Z48" s="62" t="n">
        <f aca="false">IF(Z$46&gt;=ramp_months,1,ramp_start+(1-ramp_start)*(Z$46-1)/MAX(1,ramp_months-1))</f>
        <v>1</v>
      </c>
      <c r="AA48" s="62" t="n">
        <f aca="false">IF(AA$46&gt;=ramp_months,1,ramp_start+(1-ramp_start)*(AA$46-1)/MAX(1,ramp_months-1))</f>
        <v>1</v>
      </c>
      <c r="AB48" s="62" t="n">
        <f aca="false">IF(AB$46&gt;=ramp_months,1,ramp_start+(1-ramp_start)*(AB$46-1)/MAX(1,ramp_months-1))</f>
        <v>1</v>
      </c>
      <c r="AC48" s="62" t="n">
        <f aca="false">IF(AC$46&gt;=ramp_months,1,ramp_start+(1-ramp_start)*(AC$46-1)/MAX(1,ramp_months-1))</f>
        <v>1</v>
      </c>
      <c r="AD48" s="62" t="n">
        <f aca="false">IF(AD$46&gt;=ramp_months,1,ramp_start+(1-ramp_start)*(AD$46-1)/MAX(1,ramp_months-1))</f>
        <v>1</v>
      </c>
      <c r="AE48" s="62" t="n">
        <f aca="false">IF(AE$46&gt;=ramp_months,1,ramp_start+(1-ramp_start)*(AE$46-1)/MAX(1,ramp_months-1))</f>
        <v>1</v>
      </c>
      <c r="AF48" s="62" t="n">
        <f aca="false">IF(AF$46&gt;=ramp_months,1,ramp_start+(1-ramp_start)*(AF$46-1)/MAX(1,ramp_months-1))</f>
        <v>1</v>
      </c>
      <c r="AG48" s="62" t="n">
        <f aca="false">IF(AG$46&gt;=ramp_months,1,ramp_start+(1-ramp_start)*(AG$46-1)/MAX(1,ramp_months-1))</f>
        <v>1</v>
      </c>
      <c r="AH48" s="62" t="n">
        <f aca="false">IF(AH$46&gt;=ramp_months,1,ramp_start+(1-ramp_start)*(AH$46-1)/MAX(1,ramp_months-1))</f>
        <v>1</v>
      </c>
      <c r="AI48" s="62" t="n">
        <f aca="false">IF(AI$46&gt;=ramp_months,1,ramp_start+(1-ramp_start)*(AI$46-1)/MAX(1,ramp_months-1))</f>
        <v>1</v>
      </c>
      <c r="AJ48" s="62" t="n">
        <f aca="false">IF(AJ$46&gt;=ramp_months,1,ramp_start+(1-ramp_start)*(AJ$46-1)/MAX(1,ramp_months-1))</f>
        <v>1</v>
      </c>
      <c r="AK48" s="62" t="n">
        <f aca="false">IF(AK$46&gt;=ramp_months,1,ramp_start+(1-ramp_start)*(AK$46-1)/MAX(1,ramp_months-1))</f>
        <v>1</v>
      </c>
      <c r="AL48" s="62" t="n">
        <f aca="false">IF(AL$46&gt;=ramp_months,1,ramp_start+(1-ramp_start)*(AL$46-1)/MAX(1,ramp_months-1))</f>
        <v>1</v>
      </c>
      <c r="AM48" s="62" t="n">
        <f aca="false">IF(AM$46&gt;=ramp_months,1,ramp_start+(1-ramp_start)*(AM$46-1)/MAX(1,ramp_months-1))</f>
        <v>1</v>
      </c>
      <c r="AN48" s="62" t="n">
        <f aca="false">IF(AN$46&gt;=ramp_months,1,ramp_start+(1-ramp_start)*(AN$46-1)/MAX(1,ramp_months-1))</f>
        <v>1</v>
      </c>
      <c r="AO48" s="62" t="n">
        <f aca="false">IF(AO$46&gt;=ramp_months,1,ramp_start+(1-ramp_start)*(AO$46-1)/MAX(1,ramp_months-1))</f>
        <v>1</v>
      </c>
      <c r="AP48" s="62" t="n">
        <f aca="false">IF(AP$46&gt;=ramp_months,1,ramp_start+(1-ramp_start)*(AP$46-1)/MAX(1,ramp_months-1))</f>
        <v>1</v>
      </c>
      <c r="AQ48" s="62" t="n">
        <f aca="false">IF(AQ$46&gt;=ramp_months,1,ramp_start+(1-ramp_start)*(AQ$46-1)/MAX(1,ramp_months-1))</f>
        <v>1</v>
      </c>
      <c r="AR48" s="62" t="n">
        <f aca="false">IF(AR$46&gt;=ramp_months,1,ramp_start+(1-ramp_start)*(AR$46-1)/MAX(1,ramp_months-1))</f>
        <v>1</v>
      </c>
      <c r="AS48" s="62" t="n">
        <f aca="false">IF(AS$46&gt;=ramp_months,1,ramp_start+(1-ramp_start)*(AS$46-1)/MAX(1,ramp_months-1))</f>
        <v>1</v>
      </c>
      <c r="AT48" s="62" t="n">
        <f aca="false">IF(AT$46&gt;=ramp_months,1,ramp_start+(1-ramp_start)*(AT$46-1)/MAX(1,ramp_months-1))</f>
        <v>1</v>
      </c>
      <c r="AU48" s="62" t="n">
        <f aca="false">IF(AU$46&gt;=ramp_months,1,ramp_start+(1-ramp_start)*(AU$46-1)/MAX(1,ramp_months-1))</f>
        <v>1</v>
      </c>
      <c r="AV48" s="62" t="n">
        <f aca="false">IF(AV$46&gt;=ramp_months,1,ramp_start+(1-ramp_start)*(AV$46-1)/MAX(1,ramp_months-1))</f>
        <v>1</v>
      </c>
      <c r="AW48" s="62" t="n">
        <f aca="false">IF(AW$46&gt;=ramp_months,1,ramp_start+(1-ramp_start)*(AW$46-1)/MAX(1,ramp_months-1))</f>
        <v>1</v>
      </c>
      <c r="AX48" s="62" t="n">
        <f aca="false">IF(AX$46&gt;=ramp_months,1,ramp_start+(1-ramp_start)*(AX$46-1)/MAX(1,ramp_months-1))</f>
        <v>1</v>
      </c>
      <c r="AY48" s="62" t="n">
        <f aca="false">IF(AY$46&gt;=ramp_months,1,ramp_start+(1-ramp_start)*(AY$46-1)/MAX(1,ramp_months-1))</f>
        <v>1</v>
      </c>
      <c r="AZ48" s="62" t="n">
        <f aca="false">IF(AZ$46&gt;=ramp_months,1,ramp_start+(1-ramp_start)*(AZ$46-1)/MAX(1,ramp_months-1))</f>
        <v>1</v>
      </c>
      <c r="BA48" s="62" t="n">
        <f aca="false">IF(BA$46&gt;=ramp_months,1,ramp_start+(1-ramp_start)*(BA$46-1)/MAX(1,ramp_months-1))</f>
        <v>1</v>
      </c>
      <c r="BB48" s="62" t="n">
        <f aca="false">IF(BB$46&gt;=ramp_months,1,ramp_start+(1-ramp_start)*(BB$46-1)/MAX(1,ramp_months-1))</f>
        <v>1</v>
      </c>
      <c r="BC48" s="62" t="n">
        <f aca="false">IF(BC$46&gt;=ramp_months,1,ramp_start+(1-ramp_start)*(BC$46-1)/MAX(1,ramp_months-1))</f>
        <v>1</v>
      </c>
      <c r="BD48" s="62" t="n">
        <f aca="false">IF(BD$46&gt;=ramp_months,1,ramp_start+(1-ramp_start)*(BD$46-1)/MAX(1,ramp_months-1))</f>
        <v>1</v>
      </c>
      <c r="BE48" s="62" t="n">
        <f aca="false">IF(BE$46&gt;=ramp_months,1,ramp_start+(1-ramp_start)*(BE$46-1)/MAX(1,ramp_months-1))</f>
        <v>1</v>
      </c>
      <c r="BF48" s="62" t="n">
        <f aca="false">IF(BF$46&gt;=ramp_months,1,ramp_start+(1-ramp_start)*(BF$46-1)/MAX(1,ramp_months-1))</f>
        <v>1</v>
      </c>
      <c r="BG48" s="62" t="n">
        <f aca="false">IF(BG$46&gt;=ramp_months,1,ramp_start+(1-ramp_start)*(BG$46-1)/MAX(1,ramp_months-1))</f>
        <v>1</v>
      </c>
      <c r="BH48" s="62" t="n">
        <f aca="false">IF(BH$46&gt;=ramp_months,1,ramp_start+(1-ramp_start)*(BH$46-1)/MAX(1,ramp_months-1))</f>
        <v>1</v>
      </c>
      <c r="BI48" s="62" t="n">
        <f aca="false">IF(BI$46&gt;=ramp_months,1,ramp_start+(1-ramp_start)*(BI$46-1)/MAX(1,ramp_months-1))</f>
        <v>1</v>
      </c>
      <c r="BJ48" s="62" t="n">
        <f aca="false">IF(BJ$46&gt;=ramp_months,1,ramp_start+(1-ramp_start)*(BJ$46-1)/MAX(1,ramp_months-1))</f>
        <v>1</v>
      </c>
      <c r="BK48" s="62" t="n">
        <f aca="false">IF(BK$46&gt;=ramp_months,1,ramp_start+(1-ramp_start)*(BK$46-1)/MAX(1,ramp_months-1))</f>
        <v>1</v>
      </c>
    </row>
    <row r="49" customFormat="false" ht="15" hidden="false" customHeight="false" outlineLevel="0" collapsed="false">
      <c r="A49" s="5" t="s">
        <v>152</v>
      </c>
      <c r="D49" s="56" t="n">
        <f aca="false">ns_mature_sales/12*D48</f>
        <v>316559.308888889</v>
      </c>
      <c r="E49" s="56" t="n">
        <f aca="false">ns_mature_sales/12*E48</f>
        <v>328973.399433551</v>
      </c>
      <c r="F49" s="56" t="n">
        <f aca="false">ns_mature_sales/12*F48</f>
        <v>341387.489978213</v>
      </c>
      <c r="G49" s="56" t="n">
        <f aca="false">ns_mature_sales/12*G48</f>
        <v>353801.580522876</v>
      </c>
      <c r="H49" s="56" t="n">
        <f aca="false">ns_mature_sales/12*H48</f>
        <v>366215.671067538</v>
      </c>
      <c r="I49" s="56" t="n">
        <f aca="false">ns_mature_sales/12*I48</f>
        <v>378629.7616122</v>
      </c>
      <c r="J49" s="56" t="n">
        <f aca="false">ns_mature_sales/12*J48</f>
        <v>391043.852156863</v>
      </c>
      <c r="K49" s="56" t="n">
        <f aca="false">ns_mature_sales/12*K48</f>
        <v>403457.942701525</v>
      </c>
      <c r="L49" s="56" t="n">
        <f aca="false">ns_mature_sales/12*L48</f>
        <v>415872.033246187</v>
      </c>
      <c r="M49" s="56" t="n">
        <f aca="false">ns_mature_sales/12*M48</f>
        <v>428286.12379085</v>
      </c>
      <c r="N49" s="56" t="n">
        <f aca="false">ns_mature_sales/12*N48</f>
        <v>440700.214335512</v>
      </c>
      <c r="O49" s="56" t="n">
        <f aca="false">ns_mature_sales/12*O48</f>
        <v>453114.304880174</v>
      </c>
      <c r="P49" s="56" t="n">
        <f aca="false">ns_mature_sales/12*P48</f>
        <v>465528.395424837</v>
      </c>
      <c r="Q49" s="56" t="n">
        <f aca="false">ns_mature_sales/12*Q48</f>
        <v>477942.485969499</v>
      </c>
      <c r="R49" s="56" t="n">
        <f aca="false">ns_mature_sales/12*R48</f>
        <v>490356.576514161</v>
      </c>
      <c r="S49" s="56" t="n">
        <f aca="false">ns_mature_sales/12*S48</f>
        <v>502770.667058823</v>
      </c>
      <c r="T49" s="56" t="n">
        <f aca="false">ns_mature_sales/12*T48</f>
        <v>515184.757603486</v>
      </c>
      <c r="U49" s="56" t="n">
        <f aca="false">ns_mature_sales/12*U48</f>
        <v>527598.848148148</v>
      </c>
      <c r="V49" s="56" t="n">
        <f aca="false">ns_mature_sales/12*V48</f>
        <v>527598.848148148</v>
      </c>
      <c r="W49" s="56" t="n">
        <f aca="false">ns_mature_sales/12*W48</f>
        <v>527598.848148148</v>
      </c>
      <c r="X49" s="56" t="n">
        <f aca="false">ns_mature_sales/12*X48</f>
        <v>527598.848148148</v>
      </c>
      <c r="Y49" s="56" t="n">
        <f aca="false">ns_mature_sales/12*Y48</f>
        <v>527598.848148148</v>
      </c>
      <c r="Z49" s="56" t="n">
        <f aca="false">ns_mature_sales/12*Z48</f>
        <v>527598.848148148</v>
      </c>
      <c r="AA49" s="56" t="n">
        <f aca="false">ns_mature_sales/12*AA48</f>
        <v>527598.848148148</v>
      </c>
      <c r="AB49" s="56" t="n">
        <f aca="false">ns_mature_sales/12*AB48</f>
        <v>527598.848148148</v>
      </c>
      <c r="AC49" s="56" t="n">
        <f aca="false">ns_mature_sales/12*AC48</f>
        <v>527598.848148148</v>
      </c>
      <c r="AD49" s="56" t="n">
        <f aca="false">ns_mature_sales/12*AD48</f>
        <v>527598.848148148</v>
      </c>
      <c r="AE49" s="56" t="n">
        <f aca="false">ns_mature_sales/12*AE48</f>
        <v>527598.848148148</v>
      </c>
      <c r="AF49" s="56" t="n">
        <f aca="false">ns_mature_sales/12*AF48</f>
        <v>527598.848148148</v>
      </c>
      <c r="AG49" s="56" t="n">
        <f aca="false">ns_mature_sales/12*AG48</f>
        <v>527598.848148148</v>
      </c>
      <c r="AH49" s="56" t="n">
        <f aca="false">ns_mature_sales/12*AH48</f>
        <v>527598.848148148</v>
      </c>
      <c r="AI49" s="56" t="n">
        <f aca="false">ns_mature_sales/12*AI48</f>
        <v>527598.848148148</v>
      </c>
      <c r="AJ49" s="56" t="n">
        <f aca="false">ns_mature_sales/12*AJ48</f>
        <v>527598.848148148</v>
      </c>
      <c r="AK49" s="56" t="n">
        <f aca="false">ns_mature_sales/12*AK48</f>
        <v>527598.848148148</v>
      </c>
      <c r="AL49" s="56" t="n">
        <f aca="false">ns_mature_sales/12*AL48</f>
        <v>527598.848148148</v>
      </c>
      <c r="AM49" s="56" t="n">
        <f aca="false">ns_mature_sales/12*AM48</f>
        <v>527598.848148148</v>
      </c>
      <c r="AN49" s="56" t="n">
        <f aca="false">ns_mature_sales/12*AN48</f>
        <v>527598.848148148</v>
      </c>
      <c r="AO49" s="56" t="n">
        <f aca="false">ns_mature_sales/12*AO48</f>
        <v>527598.848148148</v>
      </c>
      <c r="AP49" s="56" t="n">
        <f aca="false">ns_mature_sales/12*AP48</f>
        <v>527598.848148148</v>
      </c>
      <c r="AQ49" s="56" t="n">
        <f aca="false">ns_mature_sales/12*AQ48</f>
        <v>527598.848148148</v>
      </c>
      <c r="AR49" s="56" t="n">
        <f aca="false">ns_mature_sales/12*AR48</f>
        <v>527598.848148148</v>
      </c>
      <c r="AS49" s="56" t="n">
        <f aca="false">ns_mature_sales/12*AS48</f>
        <v>527598.848148148</v>
      </c>
      <c r="AT49" s="56" t="n">
        <f aca="false">ns_mature_sales/12*AT48</f>
        <v>527598.848148148</v>
      </c>
      <c r="AU49" s="56" t="n">
        <f aca="false">ns_mature_sales/12*AU48</f>
        <v>527598.848148148</v>
      </c>
      <c r="AV49" s="56" t="n">
        <f aca="false">ns_mature_sales/12*AV48</f>
        <v>527598.848148148</v>
      </c>
      <c r="AW49" s="56" t="n">
        <f aca="false">ns_mature_sales/12*AW48</f>
        <v>527598.848148148</v>
      </c>
      <c r="AX49" s="56" t="n">
        <f aca="false">ns_mature_sales/12*AX48</f>
        <v>527598.848148148</v>
      </c>
      <c r="AY49" s="56" t="n">
        <f aca="false">ns_mature_sales/12*AY48</f>
        <v>527598.848148148</v>
      </c>
      <c r="AZ49" s="56" t="n">
        <f aca="false">ns_mature_sales/12*AZ48</f>
        <v>527598.848148148</v>
      </c>
      <c r="BA49" s="56" t="n">
        <f aca="false">ns_mature_sales/12*BA48</f>
        <v>527598.848148148</v>
      </c>
      <c r="BB49" s="56" t="n">
        <f aca="false">ns_mature_sales/12*BB48</f>
        <v>527598.848148148</v>
      </c>
      <c r="BC49" s="56" t="n">
        <f aca="false">ns_mature_sales/12*BC48</f>
        <v>527598.848148148</v>
      </c>
      <c r="BD49" s="56" t="n">
        <f aca="false">ns_mature_sales/12*BD48</f>
        <v>527598.848148148</v>
      </c>
      <c r="BE49" s="56" t="n">
        <f aca="false">ns_mature_sales/12*BE48</f>
        <v>527598.848148148</v>
      </c>
      <c r="BF49" s="56" t="n">
        <f aca="false">ns_mature_sales/12*BF48</f>
        <v>527598.848148148</v>
      </c>
      <c r="BG49" s="56" t="n">
        <f aca="false">ns_mature_sales/12*BG48</f>
        <v>527598.848148148</v>
      </c>
      <c r="BH49" s="56" t="n">
        <f aca="false">ns_mature_sales/12*BH48</f>
        <v>527598.848148148</v>
      </c>
      <c r="BI49" s="56" t="n">
        <f aca="false">ns_mature_sales/12*BI48</f>
        <v>527598.848148148</v>
      </c>
      <c r="BJ49" s="56" t="n">
        <f aca="false">ns_mature_sales/12*BJ48</f>
        <v>527598.848148148</v>
      </c>
      <c r="BK49" s="56" t="n">
        <f aca="false">ns_mature_sales/12*BK48</f>
        <v>527598.848148148</v>
      </c>
    </row>
    <row r="50" customFormat="false" ht="15" hidden="false" customHeight="false" outlineLevel="0" collapsed="false">
      <c r="A50" s="5" t="s">
        <v>184</v>
      </c>
      <c r="D50" s="56" t="n">
        <f aca="false">D49*ns_gm</f>
        <v>151610.575097921</v>
      </c>
      <c r="E50" s="56" t="n">
        <f aca="false">E49*ns_gm</f>
        <v>157556.08784686</v>
      </c>
      <c r="F50" s="56" t="n">
        <f aca="false">F49*ns_gm</f>
        <v>163501.600595798</v>
      </c>
      <c r="G50" s="56" t="n">
        <f aca="false">G49*ns_gm</f>
        <v>169447.113344736</v>
      </c>
      <c r="H50" s="56" t="n">
        <f aca="false">H49*ns_gm</f>
        <v>175392.626093674</v>
      </c>
      <c r="I50" s="56" t="n">
        <f aca="false">I49*ns_gm</f>
        <v>181338.138842612</v>
      </c>
      <c r="J50" s="56" t="n">
        <f aca="false">J49*ns_gm</f>
        <v>187283.65159155</v>
      </c>
      <c r="K50" s="56" t="n">
        <f aca="false">K49*ns_gm</f>
        <v>193229.164340488</v>
      </c>
      <c r="L50" s="56" t="n">
        <f aca="false">L49*ns_gm</f>
        <v>199174.677089426</v>
      </c>
      <c r="M50" s="56" t="n">
        <f aca="false">M49*ns_gm</f>
        <v>205120.189838364</v>
      </c>
      <c r="N50" s="56" t="n">
        <f aca="false">N49*ns_gm</f>
        <v>211065.702587302</v>
      </c>
      <c r="O50" s="56" t="n">
        <f aca="false">O49*ns_gm</f>
        <v>217011.215336241</v>
      </c>
      <c r="P50" s="56" t="n">
        <f aca="false">P49*ns_gm</f>
        <v>222956.728085179</v>
      </c>
      <c r="Q50" s="56" t="n">
        <f aca="false">Q49*ns_gm</f>
        <v>228902.240834117</v>
      </c>
      <c r="R50" s="56" t="n">
        <f aca="false">R49*ns_gm</f>
        <v>234847.753583055</v>
      </c>
      <c r="S50" s="56" t="n">
        <f aca="false">S49*ns_gm</f>
        <v>240793.266331993</v>
      </c>
      <c r="T50" s="56" t="n">
        <f aca="false">T49*ns_gm</f>
        <v>246738.779080931</v>
      </c>
      <c r="U50" s="56" t="n">
        <f aca="false">U49*ns_gm</f>
        <v>252684.291829869</v>
      </c>
      <c r="V50" s="56" t="n">
        <f aca="false">V49*ns_gm</f>
        <v>252684.291829869</v>
      </c>
      <c r="W50" s="56" t="n">
        <f aca="false">W49*ns_gm</f>
        <v>252684.291829869</v>
      </c>
      <c r="X50" s="56" t="n">
        <f aca="false">X49*ns_gm</f>
        <v>252684.291829869</v>
      </c>
      <c r="Y50" s="56" t="n">
        <f aca="false">Y49*ns_gm</f>
        <v>252684.291829869</v>
      </c>
      <c r="Z50" s="56" t="n">
        <f aca="false">Z49*ns_gm</f>
        <v>252684.291829869</v>
      </c>
      <c r="AA50" s="56" t="n">
        <f aca="false">AA49*ns_gm</f>
        <v>252684.291829869</v>
      </c>
      <c r="AB50" s="56" t="n">
        <f aca="false">AB49*ns_gm</f>
        <v>252684.291829869</v>
      </c>
      <c r="AC50" s="56" t="n">
        <f aca="false">AC49*ns_gm</f>
        <v>252684.291829869</v>
      </c>
      <c r="AD50" s="56" t="n">
        <f aca="false">AD49*ns_gm</f>
        <v>252684.291829869</v>
      </c>
      <c r="AE50" s="56" t="n">
        <f aca="false">AE49*ns_gm</f>
        <v>252684.291829869</v>
      </c>
      <c r="AF50" s="56" t="n">
        <f aca="false">AF49*ns_gm</f>
        <v>252684.291829869</v>
      </c>
      <c r="AG50" s="56" t="n">
        <f aca="false">AG49*ns_gm</f>
        <v>252684.291829869</v>
      </c>
      <c r="AH50" s="56" t="n">
        <f aca="false">AH49*ns_gm</f>
        <v>252684.291829869</v>
      </c>
      <c r="AI50" s="56" t="n">
        <f aca="false">AI49*ns_gm</f>
        <v>252684.291829869</v>
      </c>
      <c r="AJ50" s="56" t="n">
        <f aca="false">AJ49*ns_gm</f>
        <v>252684.291829869</v>
      </c>
      <c r="AK50" s="56" t="n">
        <f aca="false">AK49*ns_gm</f>
        <v>252684.291829869</v>
      </c>
      <c r="AL50" s="56" t="n">
        <f aca="false">AL49*ns_gm</f>
        <v>252684.291829869</v>
      </c>
      <c r="AM50" s="56" t="n">
        <f aca="false">AM49*ns_gm</f>
        <v>252684.291829869</v>
      </c>
      <c r="AN50" s="56" t="n">
        <f aca="false">AN49*ns_gm</f>
        <v>252684.291829869</v>
      </c>
      <c r="AO50" s="56" t="n">
        <f aca="false">AO49*ns_gm</f>
        <v>252684.291829869</v>
      </c>
      <c r="AP50" s="56" t="n">
        <f aca="false">AP49*ns_gm</f>
        <v>252684.291829869</v>
      </c>
      <c r="AQ50" s="56" t="n">
        <f aca="false">AQ49*ns_gm</f>
        <v>252684.291829869</v>
      </c>
      <c r="AR50" s="56" t="n">
        <f aca="false">AR49*ns_gm</f>
        <v>252684.291829869</v>
      </c>
      <c r="AS50" s="56" t="n">
        <f aca="false">AS49*ns_gm</f>
        <v>252684.291829869</v>
      </c>
      <c r="AT50" s="56" t="n">
        <f aca="false">AT49*ns_gm</f>
        <v>252684.291829869</v>
      </c>
      <c r="AU50" s="56" t="n">
        <f aca="false">AU49*ns_gm</f>
        <v>252684.291829869</v>
      </c>
      <c r="AV50" s="56" t="n">
        <f aca="false">AV49*ns_gm</f>
        <v>252684.291829869</v>
      </c>
      <c r="AW50" s="56" t="n">
        <f aca="false">AW49*ns_gm</f>
        <v>252684.291829869</v>
      </c>
      <c r="AX50" s="56" t="n">
        <f aca="false">AX49*ns_gm</f>
        <v>252684.291829869</v>
      </c>
      <c r="AY50" s="56" t="n">
        <f aca="false">AY49*ns_gm</f>
        <v>252684.291829869</v>
      </c>
      <c r="AZ50" s="56" t="n">
        <f aca="false">AZ49*ns_gm</f>
        <v>252684.291829869</v>
      </c>
      <c r="BA50" s="56" t="n">
        <f aca="false">BA49*ns_gm</f>
        <v>252684.291829869</v>
      </c>
      <c r="BB50" s="56" t="n">
        <f aca="false">BB49*ns_gm</f>
        <v>252684.291829869</v>
      </c>
      <c r="BC50" s="56" t="n">
        <f aca="false">BC49*ns_gm</f>
        <v>252684.291829869</v>
      </c>
      <c r="BD50" s="56" t="n">
        <f aca="false">BD49*ns_gm</f>
        <v>252684.291829869</v>
      </c>
      <c r="BE50" s="56" t="n">
        <f aca="false">BE49*ns_gm</f>
        <v>252684.291829869</v>
      </c>
      <c r="BF50" s="56" t="n">
        <f aca="false">BF49*ns_gm</f>
        <v>252684.291829869</v>
      </c>
      <c r="BG50" s="56" t="n">
        <f aca="false">BG49*ns_gm</f>
        <v>252684.291829869</v>
      </c>
      <c r="BH50" s="56" t="n">
        <f aca="false">BH49*ns_gm</f>
        <v>252684.291829869</v>
      </c>
      <c r="BI50" s="56" t="n">
        <f aca="false">BI49*ns_gm</f>
        <v>252684.291829869</v>
      </c>
      <c r="BJ50" s="56" t="n">
        <f aca="false">BJ49*ns_gm</f>
        <v>252684.291829869</v>
      </c>
      <c r="BK50" s="56" t="n">
        <f aca="false">BK49*ns_gm</f>
        <v>252684.291829869</v>
      </c>
    </row>
    <row r="51" customFormat="false" ht="15" hidden="false" customHeight="false" outlineLevel="0" collapsed="false">
      <c r="A51" s="5" t="s">
        <v>60</v>
      </c>
      <c r="D51" s="56" t="n">
        <f aca="false">D49*waste_pct</f>
        <v>6014.62686888889</v>
      </c>
      <c r="E51" s="56" t="n">
        <f aca="false">E49*waste_pct</f>
        <v>6250.49458923747</v>
      </c>
      <c r="F51" s="56" t="n">
        <f aca="false">F49*waste_pct</f>
        <v>6486.36230958605</v>
      </c>
      <c r="G51" s="56" t="n">
        <f aca="false">G49*waste_pct</f>
        <v>6722.23002993464</v>
      </c>
      <c r="H51" s="56" t="n">
        <f aca="false">H49*waste_pct</f>
        <v>6958.09775028322</v>
      </c>
      <c r="I51" s="56" t="n">
        <f aca="false">I49*waste_pct</f>
        <v>7193.96547063181</v>
      </c>
      <c r="J51" s="56" t="n">
        <f aca="false">J49*waste_pct</f>
        <v>7429.83319098039</v>
      </c>
      <c r="K51" s="56" t="n">
        <f aca="false">K49*waste_pct</f>
        <v>7665.70091132897</v>
      </c>
      <c r="L51" s="56" t="n">
        <f aca="false">L49*waste_pct</f>
        <v>7901.56863167756</v>
      </c>
      <c r="M51" s="56" t="n">
        <f aca="false">M49*waste_pct</f>
        <v>8137.43635202614</v>
      </c>
      <c r="N51" s="56" t="n">
        <f aca="false">N49*waste_pct</f>
        <v>8373.30407237473</v>
      </c>
      <c r="O51" s="56" t="n">
        <f aca="false">O49*waste_pct</f>
        <v>8609.17179272331</v>
      </c>
      <c r="P51" s="56" t="n">
        <f aca="false">P49*waste_pct</f>
        <v>8845.03951307189</v>
      </c>
      <c r="Q51" s="56" t="n">
        <f aca="false">Q49*waste_pct</f>
        <v>9080.90723342048</v>
      </c>
      <c r="R51" s="56" t="n">
        <f aca="false">R49*waste_pct</f>
        <v>9316.77495376906</v>
      </c>
      <c r="S51" s="56" t="n">
        <f aca="false">S49*waste_pct</f>
        <v>9552.64267411764</v>
      </c>
      <c r="T51" s="56" t="n">
        <f aca="false">T49*waste_pct</f>
        <v>9788.51039446623</v>
      </c>
      <c r="U51" s="56" t="n">
        <f aca="false">U49*waste_pct</f>
        <v>10024.3781148148</v>
      </c>
      <c r="V51" s="56" t="n">
        <f aca="false">V49*waste_pct</f>
        <v>10024.3781148148</v>
      </c>
      <c r="W51" s="56" t="n">
        <f aca="false">W49*waste_pct</f>
        <v>10024.3781148148</v>
      </c>
      <c r="X51" s="56" t="n">
        <f aca="false">X49*waste_pct</f>
        <v>10024.3781148148</v>
      </c>
      <c r="Y51" s="56" t="n">
        <f aca="false">Y49*waste_pct</f>
        <v>10024.3781148148</v>
      </c>
      <c r="Z51" s="56" t="n">
        <f aca="false">Z49*waste_pct</f>
        <v>10024.3781148148</v>
      </c>
      <c r="AA51" s="56" t="n">
        <f aca="false">AA49*waste_pct</f>
        <v>10024.3781148148</v>
      </c>
      <c r="AB51" s="56" t="n">
        <f aca="false">AB49*waste_pct</f>
        <v>10024.3781148148</v>
      </c>
      <c r="AC51" s="56" t="n">
        <f aca="false">AC49*waste_pct</f>
        <v>10024.3781148148</v>
      </c>
      <c r="AD51" s="56" t="n">
        <f aca="false">AD49*waste_pct</f>
        <v>10024.3781148148</v>
      </c>
      <c r="AE51" s="56" t="n">
        <f aca="false">AE49*waste_pct</f>
        <v>10024.3781148148</v>
      </c>
      <c r="AF51" s="56" t="n">
        <f aca="false">AF49*waste_pct</f>
        <v>10024.3781148148</v>
      </c>
      <c r="AG51" s="56" t="n">
        <f aca="false">AG49*waste_pct</f>
        <v>10024.3781148148</v>
      </c>
      <c r="AH51" s="56" t="n">
        <f aca="false">AH49*waste_pct</f>
        <v>10024.3781148148</v>
      </c>
      <c r="AI51" s="56" t="n">
        <f aca="false">AI49*waste_pct</f>
        <v>10024.3781148148</v>
      </c>
      <c r="AJ51" s="56" t="n">
        <f aca="false">AJ49*waste_pct</f>
        <v>10024.3781148148</v>
      </c>
      <c r="AK51" s="56" t="n">
        <f aca="false">AK49*waste_pct</f>
        <v>10024.3781148148</v>
      </c>
      <c r="AL51" s="56" t="n">
        <f aca="false">AL49*waste_pct</f>
        <v>10024.3781148148</v>
      </c>
      <c r="AM51" s="56" t="n">
        <f aca="false">AM49*waste_pct</f>
        <v>10024.3781148148</v>
      </c>
      <c r="AN51" s="56" t="n">
        <f aca="false">AN49*waste_pct</f>
        <v>10024.3781148148</v>
      </c>
      <c r="AO51" s="56" t="n">
        <f aca="false">AO49*waste_pct</f>
        <v>10024.3781148148</v>
      </c>
      <c r="AP51" s="56" t="n">
        <f aca="false">AP49*waste_pct</f>
        <v>10024.3781148148</v>
      </c>
      <c r="AQ51" s="56" t="n">
        <f aca="false">AQ49*waste_pct</f>
        <v>10024.3781148148</v>
      </c>
      <c r="AR51" s="56" t="n">
        <f aca="false">AR49*waste_pct</f>
        <v>10024.3781148148</v>
      </c>
      <c r="AS51" s="56" t="n">
        <f aca="false">AS49*waste_pct</f>
        <v>10024.3781148148</v>
      </c>
      <c r="AT51" s="56" t="n">
        <f aca="false">AT49*waste_pct</f>
        <v>10024.3781148148</v>
      </c>
      <c r="AU51" s="56" t="n">
        <f aca="false">AU49*waste_pct</f>
        <v>10024.3781148148</v>
      </c>
      <c r="AV51" s="56" t="n">
        <f aca="false">AV49*waste_pct</f>
        <v>10024.3781148148</v>
      </c>
      <c r="AW51" s="56" t="n">
        <f aca="false">AW49*waste_pct</f>
        <v>10024.3781148148</v>
      </c>
      <c r="AX51" s="56" t="n">
        <f aca="false">AX49*waste_pct</f>
        <v>10024.3781148148</v>
      </c>
      <c r="AY51" s="56" t="n">
        <f aca="false">AY49*waste_pct</f>
        <v>10024.3781148148</v>
      </c>
      <c r="AZ51" s="56" t="n">
        <f aca="false">AZ49*waste_pct</f>
        <v>10024.3781148148</v>
      </c>
      <c r="BA51" s="56" t="n">
        <f aca="false">BA49*waste_pct</f>
        <v>10024.3781148148</v>
      </c>
      <c r="BB51" s="56" t="n">
        <f aca="false">BB49*waste_pct</f>
        <v>10024.3781148148</v>
      </c>
      <c r="BC51" s="56" t="n">
        <f aca="false">BC49*waste_pct</f>
        <v>10024.3781148148</v>
      </c>
      <c r="BD51" s="56" t="n">
        <f aca="false">BD49*waste_pct</f>
        <v>10024.3781148148</v>
      </c>
      <c r="BE51" s="56" t="n">
        <f aca="false">BE49*waste_pct</f>
        <v>10024.3781148148</v>
      </c>
      <c r="BF51" s="56" t="n">
        <f aca="false">BF49*waste_pct</f>
        <v>10024.3781148148</v>
      </c>
      <c r="BG51" s="56" t="n">
        <f aca="false">BG49*waste_pct</f>
        <v>10024.3781148148</v>
      </c>
      <c r="BH51" s="56" t="n">
        <f aca="false">BH49*waste_pct</f>
        <v>10024.3781148148</v>
      </c>
      <c r="BI51" s="56" t="n">
        <f aca="false">BI49*waste_pct</f>
        <v>10024.3781148148</v>
      </c>
      <c r="BJ51" s="56" t="n">
        <f aca="false">BJ49*waste_pct</f>
        <v>10024.3781148148</v>
      </c>
      <c r="BK51" s="56" t="n">
        <f aca="false">BK49*waste_pct</f>
        <v>10024.3781148148</v>
      </c>
    </row>
    <row r="52" customFormat="false" ht="15" hidden="false" customHeight="false" outlineLevel="0" collapsed="false">
      <c r="A52" s="5" t="s">
        <v>185</v>
      </c>
      <c r="D52" s="56" t="n">
        <f aca="false">MAX(D49*labor_pct,ns_mature_sales/12*labor_pct*labor_floor)</f>
        <v>85207.2139759259</v>
      </c>
      <c r="E52" s="56" t="n">
        <f aca="false">MAX(E49*labor_pct,ns_mature_sales/12*labor_pct*labor_floor)</f>
        <v>85207.2139759259</v>
      </c>
      <c r="F52" s="56" t="n">
        <f aca="false">MAX(F49*labor_pct,ns_mature_sales/12*labor_pct*labor_floor)</f>
        <v>85207.2139759259</v>
      </c>
      <c r="G52" s="56" t="n">
        <f aca="false">MAX(G49*labor_pct,ns_mature_sales/12*labor_pct*labor_floor)</f>
        <v>85207.2139759259</v>
      </c>
      <c r="H52" s="56" t="n">
        <f aca="false">MAX(H49*labor_pct,ns_mature_sales/12*labor_pct*labor_floor)</f>
        <v>85207.2139759259</v>
      </c>
      <c r="I52" s="56" t="n">
        <f aca="false">MAX(I49*labor_pct,ns_mature_sales/12*labor_pct*labor_floor)</f>
        <v>85207.2139759259</v>
      </c>
      <c r="J52" s="56" t="n">
        <f aca="false">MAX(J49*labor_pct,ns_mature_sales/12*labor_pct*labor_floor)</f>
        <v>85207.2139759259</v>
      </c>
      <c r="K52" s="56" t="n">
        <f aca="false">MAX(K49*labor_pct,ns_mature_sales/12*labor_pct*labor_floor)</f>
        <v>85207.2139759259</v>
      </c>
      <c r="L52" s="56" t="n">
        <f aca="false">MAX(L49*labor_pct,ns_mature_sales/12*labor_pct*labor_floor)</f>
        <v>85207.2139759259</v>
      </c>
      <c r="M52" s="56" t="n">
        <f aca="false">MAX(M49*labor_pct,ns_mature_sales/12*labor_pct*labor_floor)</f>
        <v>85207.2139759259</v>
      </c>
      <c r="N52" s="56" t="n">
        <f aca="false">MAX(N49*labor_pct,ns_mature_sales/12*labor_pct*labor_floor)</f>
        <v>85207.2139759259</v>
      </c>
      <c r="O52" s="56" t="n">
        <f aca="false">MAX(O49*labor_pct,ns_mature_sales/12*labor_pct*labor_floor)</f>
        <v>86091.7179272331</v>
      </c>
      <c r="P52" s="56" t="n">
        <f aca="false">MAX(P49*labor_pct,ns_mature_sales/12*labor_pct*labor_floor)</f>
        <v>88450.3951307189</v>
      </c>
      <c r="Q52" s="56" t="n">
        <f aca="false">MAX(Q49*labor_pct,ns_mature_sales/12*labor_pct*labor_floor)</f>
        <v>90809.0723342048</v>
      </c>
      <c r="R52" s="56" t="n">
        <f aca="false">MAX(R49*labor_pct,ns_mature_sales/12*labor_pct*labor_floor)</f>
        <v>93167.7495376906</v>
      </c>
      <c r="S52" s="56" t="n">
        <f aca="false">MAX(S49*labor_pct,ns_mature_sales/12*labor_pct*labor_floor)</f>
        <v>95526.4267411764</v>
      </c>
      <c r="T52" s="56" t="n">
        <f aca="false">MAX(T49*labor_pct,ns_mature_sales/12*labor_pct*labor_floor)</f>
        <v>97885.1039446623</v>
      </c>
      <c r="U52" s="56" t="n">
        <f aca="false">MAX(U49*labor_pct,ns_mature_sales/12*labor_pct*labor_floor)</f>
        <v>100243.781148148</v>
      </c>
      <c r="V52" s="56" t="n">
        <f aca="false">MAX(V49*labor_pct,ns_mature_sales/12*labor_pct*labor_floor)</f>
        <v>100243.781148148</v>
      </c>
      <c r="W52" s="56" t="n">
        <f aca="false">MAX(W49*labor_pct,ns_mature_sales/12*labor_pct*labor_floor)</f>
        <v>100243.781148148</v>
      </c>
      <c r="X52" s="56" t="n">
        <f aca="false">MAX(X49*labor_pct,ns_mature_sales/12*labor_pct*labor_floor)</f>
        <v>100243.781148148</v>
      </c>
      <c r="Y52" s="56" t="n">
        <f aca="false">MAX(Y49*labor_pct,ns_mature_sales/12*labor_pct*labor_floor)</f>
        <v>100243.781148148</v>
      </c>
      <c r="Z52" s="56" t="n">
        <f aca="false">MAX(Z49*labor_pct,ns_mature_sales/12*labor_pct*labor_floor)</f>
        <v>100243.781148148</v>
      </c>
      <c r="AA52" s="56" t="n">
        <f aca="false">MAX(AA49*labor_pct,ns_mature_sales/12*labor_pct*labor_floor)</f>
        <v>100243.781148148</v>
      </c>
      <c r="AB52" s="56" t="n">
        <f aca="false">MAX(AB49*labor_pct,ns_mature_sales/12*labor_pct*labor_floor)</f>
        <v>100243.781148148</v>
      </c>
      <c r="AC52" s="56" t="n">
        <f aca="false">MAX(AC49*labor_pct,ns_mature_sales/12*labor_pct*labor_floor)</f>
        <v>100243.781148148</v>
      </c>
      <c r="AD52" s="56" t="n">
        <f aca="false">MAX(AD49*labor_pct,ns_mature_sales/12*labor_pct*labor_floor)</f>
        <v>100243.781148148</v>
      </c>
      <c r="AE52" s="56" t="n">
        <f aca="false">MAX(AE49*labor_pct,ns_mature_sales/12*labor_pct*labor_floor)</f>
        <v>100243.781148148</v>
      </c>
      <c r="AF52" s="56" t="n">
        <f aca="false">MAX(AF49*labor_pct,ns_mature_sales/12*labor_pct*labor_floor)</f>
        <v>100243.781148148</v>
      </c>
      <c r="AG52" s="56" t="n">
        <f aca="false">MAX(AG49*labor_pct,ns_mature_sales/12*labor_pct*labor_floor)</f>
        <v>100243.781148148</v>
      </c>
      <c r="AH52" s="56" t="n">
        <f aca="false">MAX(AH49*labor_pct,ns_mature_sales/12*labor_pct*labor_floor)</f>
        <v>100243.781148148</v>
      </c>
      <c r="AI52" s="56" t="n">
        <f aca="false">MAX(AI49*labor_pct,ns_mature_sales/12*labor_pct*labor_floor)</f>
        <v>100243.781148148</v>
      </c>
      <c r="AJ52" s="56" t="n">
        <f aca="false">MAX(AJ49*labor_pct,ns_mature_sales/12*labor_pct*labor_floor)</f>
        <v>100243.781148148</v>
      </c>
      <c r="AK52" s="56" t="n">
        <f aca="false">MAX(AK49*labor_pct,ns_mature_sales/12*labor_pct*labor_floor)</f>
        <v>100243.781148148</v>
      </c>
      <c r="AL52" s="56" t="n">
        <f aca="false">MAX(AL49*labor_pct,ns_mature_sales/12*labor_pct*labor_floor)</f>
        <v>100243.781148148</v>
      </c>
      <c r="AM52" s="56" t="n">
        <f aca="false">MAX(AM49*labor_pct,ns_mature_sales/12*labor_pct*labor_floor)</f>
        <v>100243.781148148</v>
      </c>
      <c r="AN52" s="56" t="n">
        <f aca="false">MAX(AN49*labor_pct,ns_mature_sales/12*labor_pct*labor_floor)</f>
        <v>100243.781148148</v>
      </c>
      <c r="AO52" s="56" t="n">
        <f aca="false">MAX(AO49*labor_pct,ns_mature_sales/12*labor_pct*labor_floor)</f>
        <v>100243.781148148</v>
      </c>
      <c r="AP52" s="56" t="n">
        <f aca="false">MAX(AP49*labor_pct,ns_mature_sales/12*labor_pct*labor_floor)</f>
        <v>100243.781148148</v>
      </c>
      <c r="AQ52" s="56" t="n">
        <f aca="false">MAX(AQ49*labor_pct,ns_mature_sales/12*labor_pct*labor_floor)</f>
        <v>100243.781148148</v>
      </c>
      <c r="AR52" s="56" t="n">
        <f aca="false">MAX(AR49*labor_pct,ns_mature_sales/12*labor_pct*labor_floor)</f>
        <v>100243.781148148</v>
      </c>
      <c r="AS52" s="56" t="n">
        <f aca="false">MAX(AS49*labor_pct,ns_mature_sales/12*labor_pct*labor_floor)</f>
        <v>100243.781148148</v>
      </c>
      <c r="AT52" s="56" t="n">
        <f aca="false">MAX(AT49*labor_pct,ns_mature_sales/12*labor_pct*labor_floor)</f>
        <v>100243.781148148</v>
      </c>
      <c r="AU52" s="56" t="n">
        <f aca="false">MAX(AU49*labor_pct,ns_mature_sales/12*labor_pct*labor_floor)</f>
        <v>100243.781148148</v>
      </c>
      <c r="AV52" s="56" t="n">
        <f aca="false">MAX(AV49*labor_pct,ns_mature_sales/12*labor_pct*labor_floor)</f>
        <v>100243.781148148</v>
      </c>
      <c r="AW52" s="56" t="n">
        <f aca="false">MAX(AW49*labor_pct,ns_mature_sales/12*labor_pct*labor_floor)</f>
        <v>100243.781148148</v>
      </c>
      <c r="AX52" s="56" t="n">
        <f aca="false">MAX(AX49*labor_pct,ns_mature_sales/12*labor_pct*labor_floor)</f>
        <v>100243.781148148</v>
      </c>
      <c r="AY52" s="56" t="n">
        <f aca="false">MAX(AY49*labor_pct,ns_mature_sales/12*labor_pct*labor_floor)</f>
        <v>100243.781148148</v>
      </c>
      <c r="AZ52" s="56" t="n">
        <f aca="false">MAX(AZ49*labor_pct,ns_mature_sales/12*labor_pct*labor_floor)</f>
        <v>100243.781148148</v>
      </c>
      <c r="BA52" s="56" t="n">
        <f aca="false">MAX(BA49*labor_pct,ns_mature_sales/12*labor_pct*labor_floor)</f>
        <v>100243.781148148</v>
      </c>
      <c r="BB52" s="56" t="n">
        <f aca="false">MAX(BB49*labor_pct,ns_mature_sales/12*labor_pct*labor_floor)</f>
        <v>100243.781148148</v>
      </c>
      <c r="BC52" s="56" t="n">
        <f aca="false">MAX(BC49*labor_pct,ns_mature_sales/12*labor_pct*labor_floor)</f>
        <v>100243.781148148</v>
      </c>
      <c r="BD52" s="56" t="n">
        <f aca="false">MAX(BD49*labor_pct,ns_mature_sales/12*labor_pct*labor_floor)</f>
        <v>100243.781148148</v>
      </c>
      <c r="BE52" s="56" t="n">
        <f aca="false">MAX(BE49*labor_pct,ns_mature_sales/12*labor_pct*labor_floor)</f>
        <v>100243.781148148</v>
      </c>
      <c r="BF52" s="56" t="n">
        <f aca="false">MAX(BF49*labor_pct,ns_mature_sales/12*labor_pct*labor_floor)</f>
        <v>100243.781148148</v>
      </c>
      <c r="BG52" s="56" t="n">
        <f aca="false">MAX(BG49*labor_pct,ns_mature_sales/12*labor_pct*labor_floor)</f>
        <v>100243.781148148</v>
      </c>
      <c r="BH52" s="56" t="n">
        <f aca="false">MAX(BH49*labor_pct,ns_mature_sales/12*labor_pct*labor_floor)</f>
        <v>100243.781148148</v>
      </c>
      <c r="BI52" s="56" t="n">
        <f aca="false">MAX(BI49*labor_pct,ns_mature_sales/12*labor_pct*labor_floor)</f>
        <v>100243.781148148</v>
      </c>
      <c r="BJ52" s="56" t="n">
        <f aca="false">MAX(BJ49*labor_pct,ns_mature_sales/12*labor_pct*labor_floor)</f>
        <v>100243.781148148</v>
      </c>
      <c r="BK52" s="56" t="n">
        <f aca="false">MAX(BK49*labor_pct,ns_mature_sales/12*labor_pct*labor_floor)</f>
        <v>100243.781148148</v>
      </c>
    </row>
    <row r="53" customFormat="false" ht="15" hidden="false" customHeight="false" outlineLevel="0" collapsed="false">
      <c r="A53" s="5" t="s">
        <v>69</v>
      </c>
      <c r="D53" s="56" t="n">
        <f aca="false">sqft_new*rent_psf/12</f>
        <v>40000</v>
      </c>
      <c r="E53" s="56" t="n">
        <f aca="false">sqft_new*rent_psf/12</f>
        <v>40000</v>
      </c>
      <c r="F53" s="56" t="n">
        <f aca="false">sqft_new*rent_psf/12</f>
        <v>40000</v>
      </c>
      <c r="G53" s="56" t="n">
        <f aca="false">sqft_new*rent_psf/12</f>
        <v>40000</v>
      </c>
      <c r="H53" s="56" t="n">
        <f aca="false">sqft_new*rent_psf/12</f>
        <v>40000</v>
      </c>
      <c r="I53" s="56" t="n">
        <f aca="false">sqft_new*rent_psf/12</f>
        <v>40000</v>
      </c>
      <c r="J53" s="56" t="n">
        <f aca="false">sqft_new*rent_psf/12</f>
        <v>40000</v>
      </c>
      <c r="K53" s="56" t="n">
        <f aca="false">sqft_new*rent_psf/12</f>
        <v>40000</v>
      </c>
      <c r="L53" s="56" t="n">
        <f aca="false">sqft_new*rent_psf/12</f>
        <v>40000</v>
      </c>
      <c r="M53" s="56" t="n">
        <f aca="false">sqft_new*rent_psf/12</f>
        <v>40000</v>
      </c>
      <c r="N53" s="56" t="n">
        <f aca="false">sqft_new*rent_psf/12</f>
        <v>40000</v>
      </c>
      <c r="O53" s="56" t="n">
        <f aca="false">sqft_new*rent_psf/12</f>
        <v>40000</v>
      </c>
      <c r="P53" s="56" t="n">
        <f aca="false">sqft_new*rent_psf/12</f>
        <v>40000</v>
      </c>
      <c r="Q53" s="56" t="n">
        <f aca="false">sqft_new*rent_psf/12</f>
        <v>40000</v>
      </c>
      <c r="R53" s="56" t="n">
        <f aca="false">sqft_new*rent_psf/12</f>
        <v>40000</v>
      </c>
      <c r="S53" s="56" t="n">
        <f aca="false">sqft_new*rent_psf/12</f>
        <v>40000</v>
      </c>
      <c r="T53" s="56" t="n">
        <f aca="false">sqft_new*rent_psf/12</f>
        <v>40000</v>
      </c>
      <c r="U53" s="56" t="n">
        <f aca="false">sqft_new*rent_psf/12</f>
        <v>40000</v>
      </c>
      <c r="V53" s="56" t="n">
        <f aca="false">sqft_new*rent_psf/12</f>
        <v>40000</v>
      </c>
      <c r="W53" s="56" t="n">
        <f aca="false">sqft_new*rent_psf/12</f>
        <v>40000</v>
      </c>
      <c r="X53" s="56" t="n">
        <f aca="false">sqft_new*rent_psf/12</f>
        <v>40000</v>
      </c>
      <c r="Y53" s="56" t="n">
        <f aca="false">sqft_new*rent_psf/12</f>
        <v>40000</v>
      </c>
      <c r="Z53" s="56" t="n">
        <f aca="false">sqft_new*rent_psf/12</f>
        <v>40000</v>
      </c>
      <c r="AA53" s="56" t="n">
        <f aca="false">sqft_new*rent_psf/12</f>
        <v>40000</v>
      </c>
      <c r="AB53" s="56" t="n">
        <f aca="false">sqft_new*rent_psf/12</f>
        <v>40000</v>
      </c>
      <c r="AC53" s="56" t="n">
        <f aca="false">sqft_new*rent_psf/12</f>
        <v>40000</v>
      </c>
      <c r="AD53" s="56" t="n">
        <f aca="false">sqft_new*rent_psf/12</f>
        <v>40000</v>
      </c>
      <c r="AE53" s="56" t="n">
        <f aca="false">sqft_new*rent_psf/12</f>
        <v>40000</v>
      </c>
      <c r="AF53" s="56" t="n">
        <f aca="false">sqft_new*rent_psf/12</f>
        <v>40000</v>
      </c>
      <c r="AG53" s="56" t="n">
        <f aca="false">sqft_new*rent_psf/12</f>
        <v>40000</v>
      </c>
      <c r="AH53" s="56" t="n">
        <f aca="false">sqft_new*rent_psf/12</f>
        <v>40000</v>
      </c>
      <c r="AI53" s="56" t="n">
        <f aca="false">sqft_new*rent_psf/12</f>
        <v>40000</v>
      </c>
      <c r="AJ53" s="56" t="n">
        <f aca="false">sqft_new*rent_psf/12</f>
        <v>40000</v>
      </c>
      <c r="AK53" s="56" t="n">
        <f aca="false">sqft_new*rent_psf/12</f>
        <v>40000</v>
      </c>
      <c r="AL53" s="56" t="n">
        <f aca="false">sqft_new*rent_psf/12</f>
        <v>40000</v>
      </c>
      <c r="AM53" s="56" t="n">
        <f aca="false">sqft_new*rent_psf/12</f>
        <v>40000</v>
      </c>
      <c r="AN53" s="56" t="n">
        <f aca="false">sqft_new*rent_psf/12</f>
        <v>40000</v>
      </c>
      <c r="AO53" s="56" t="n">
        <f aca="false">sqft_new*rent_psf/12</f>
        <v>40000</v>
      </c>
      <c r="AP53" s="56" t="n">
        <f aca="false">sqft_new*rent_psf/12</f>
        <v>40000</v>
      </c>
      <c r="AQ53" s="56" t="n">
        <f aca="false">sqft_new*rent_psf/12</f>
        <v>40000</v>
      </c>
      <c r="AR53" s="56" t="n">
        <f aca="false">sqft_new*rent_psf/12</f>
        <v>40000</v>
      </c>
      <c r="AS53" s="56" t="n">
        <f aca="false">sqft_new*rent_psf/12</f>
        <v>40000</v>
      </c>
      <c r="AT53" s="56" t="n">
        <f aca="false">sqft_new*rent_psf/12</f>
        <v>40000</v>
      </c>
      <c r="AU53" s="56" t="n">
        <f aca="false">sqft_new*rent_psf/12</f>
        <v>40000</v>
      </c>
      <c r="AV53" s="56" t="n">
        <f aca="false">sqft_new*rent_psf/12</f>
        <v>40000</v>
      </c>
      <c r="AW53" s="56" t="n">
        <f aca="false">sqft_new*rent_psf/12</f>
        <v>40000</v>
      </c>
      <c r="AX53" s="56" t="n">
        <f aca="false">sqft_new*rent_psf/12</f>
        <v>40000</v>
      </c>
      <c r="AY53" s="56" t="n">
        <f aca="false">sqft_new*rent_psf/12</f>
        <v>40000</v>
      </c>
      <c r="AZ53" s="56" t="n">
        <f aca="false">sqft_new*rent_psf/12</f>
        <v>40000</v>
      </c>
      <c r="BA53" s="56" t="n">
        <f aca="false">sqft_new*rent_psf/12</f>
        <v>40000</v>
      </c>
      <c r="BB53" s="56" t="n">
        <f aca="false">sqft_new*rent_psf/12</f>
        <v>40000</v>
      </c>
      <c r="BC53" s="56" t="n">
        <f aca="false">sqft_new*rent_psf/12</f>
        <v>40000</v>
      </c>
      <c r="BD53" s="56" t="n">
        <f aca="false">sqft_new*rent_psf/12</f>
        <v>40000</v>
      </c>
      <c r="BE53" s="56" t="n">
        <f aca="false">sqft_new*rent_psf/12</f>
        <v>40000</v>
      </c>
      <c r="BF53" s="56" t="n">
        <f aca="false">sqft_new*rent_psf/12</f>
        <v>40000</v>
      </c>
      <c r="BG53" s="56" t="n">
        <f aca="false">sqft_new*rent_psf/12</f>
        <v>40000</v>
      </c>
      <c r="BH53" s="56" t="n">
        <f aca="false">sqft_new*rent_psf/12</f>
        <v>40000</v>
      </c>
      <c r="BI53" s="56" t="n">
        <f aca="false">sqft_new*rent_psf/12</f>
        <v>40000</v>
      </c>
      <c r="BJ53" s="56" t="n">
        <f aca="false">sqft_new*rent_psf/12</f>
        <v>40000</v>
      </c>
      <c r="BK53" s="56" t="n">
        <f aca="false">sqft_new*rent_psf/12</f>
        <v>40000</v>
      </c>
    </row>
    <row r="54" customFormat="false" ht="15" hidden="false" customHeight="false" outlineLevel="0" collapsed="false">
      <c r="A54" s="5" t="s">
        <v>72</v>
      </c>
      <c r="D54" s="56" t="n">
        <f aca="false">D49*other_pct</f>
        <v>25324.7447111111</v>
      </c>
      <c r="E54" s="56" t="n">
        <f aca="false">E49*other_pct</f>
        <v>26317.8719546841</v>
      </c>
      <c r="F54" s="56" t="n">
        <f aca="false">F49*other_pct</f>
        <v>27310.9991982571</v>
      </c>
      <c r="G54" s="56" t="n">
        <f aca="false">G49*other_pct</f>
        <v>28304.1264418301</v>
      </c>
      <c r="H54" s="56" t="n">
        <f aca="false">H49*other_pct</f>
        <v>29297.253685403</v>
      </c>
      <c r="I54" s="56" t="n">
        <f aca="false">I49*other_pct</f>
        <v>30290.380928976</v>
      </c>
      <c r="J54" s="56" t="n">
        <f aca="false">J49*other_pct</f>
        <v>31283.508172549</v>
      </c>
      <c r="K54" s="56" t="n">
        <f aca="false">K49*other_pct</f>
        <v>32276.635416122</v>
      </c>
      <c r="L54" s="56" t="n">
        <f aca="false">L49*other_pct</f>
        <v>33269.762659695</v>
      </c>
      <c r="M54" s="56" t="n">
        <f aca="false">M49*other_pct</f>
        <v>34262.889903268</v>
      </c>
      <c r="N54" s="56" t="n">
        <f aca="false">N49*other_pct</f>
        <v>35256.0171468409</v>
      </c>
      <c r="O54" s="56" t="n">
        <f aca="false">O49*other_pct</f>
        <v>36249.1443904139</v>
      </c>
      <c r="P54" s="56" t="n">
        <f aca="false">P49*other_pct</f>
        <v>37242.2716339869</v>
      </c>
      <c r="Q54" s="56" t="n">
        <f aca="false">Q49*other_pct</f>
        <v>38235.3988775599</v>
      </c>
      <c r="R54" s="56" t="n">
        <f aca="false">R49*other_pct</f>
        <v>39228.5261211329</v>
      </c>
      <c r="S54" s="56" t="n">
        <f aca="false">S49*other_pct</f>
        <v>40221.6533647059</v>
      </c>
      <c r="T54" s="56" t="n">
        <f aca="false">T49*other_pct</f>
        <v>41214.7806082789</v>
      </c>
      <c r="U54" s="56" t="n">
        <f aca="false">U49*other_pct</f>
        <v>42207.9078518518</v>
      </c>
      <c r="V54" s="56" t="n">
        <f aca="false">V49*other_pct</f>
        <v>42207.9078518518</v>
      </c>
      <c r="W54" s="56" t="n">
        <f aca="false">W49*other_pct</f>
        <v>42207.9078518518</v>
      </c>
      <c r="X54" s="56" t="n">
        <f aca="false">X49*other_pct</f>
        <v>42207.9078518518</v>
      </c>
      <c r="Y54" s="56" t="n">
        <f aca="false">Y49*other_pct</f>
        <v>42207.9078518518</v>
      </c>
      <c r="Z54" s="56" t="n">
        <f aca="false">Z49*other_pct</f>
        <v>42207.9078518518</v>
      </c>
      <c r="AA54" s="56" t="n">
        <f aca="false">AA49*other_pct</f>
        <v>42207.9078518518</v>
      </c>
      <c r="AB54" s="56" t="n">
        <f aca="false">AB49*other_pct</f>
        <v>42207.9078518518</v>
      </c>
      <c r="AC54" s="56" t="n">
        <f aca="false">AC49*other_pct</f>
        <v>42207.9078518518</v>
      </c>
      <c r="AD54" s="56" t="n">
        <f aca="false">AD49*other_pct</f>
        <v>42207.9078518518</v>
      </c>
      <c r="AE54" s="56" t="n">
        <f aca="false">AE49*other_pct</f>
        <v>42207.9078518518</v>
      </c>
      <c r="AF54" s="56" t="n">
        <f aca="false">AF49*other_pct</f>
        <v>42207.9078518518</v>
      </c>
      <c r="AG54" s="56" t="n">
        <f aca="false">AG49*other_pct</f>
        <v>42207.9078518518</v>
      </c>
      <c r="AH54" s="56" t="n">
        <f aca="false">AH49*other_pct</f>
        <v>42207.9078518518</v>
      </c>
      <c r="AI54" s="56" t="n">
        <f aca="false">AI49*other_pct</f>
        <v>42207.9078518518</v>
      </c>
      <c r="AJ54" s="56" t="n">
        <f aca="false">AJ49*other_pct</f>
        <v>42207.9078518518</v>
      </c>
      <c r="AK54" s="56" t="n">
        <f aca="false">AK49*other_pct</f>
        <v>42207.9078518518</v>
      </c>
      <c r="AL54" s="56" t="n">
        <f aca="false">AL49*other_pct</f>
        <v>42207.9078518518</v>
      </c>
      <c r="AM54" s="56" t="n">
        <f aca="false">AM49*other_pct</f>
        <v>42207.9078518518</v>
      </c>
      <c r="AN54" s="56" t="n">
        <f aca="false">AN49*other_pct</f>
        <v>42207.9078518518</v>
      </c>
      <c r="AO54" s="56" t="n">
        <f aca="false">AO49*other_pct</f>
        <v>42207.9078518518</v>
      </c>
      <c r="AP54" s="56" t="n">
        <f aca="false">AP49*other_pct</f>
        <v>42207.9078518518</v>
      </c>
      <c r="AQ54" s="56" t="n">
        <f aca="false">AQ49*other_pct</f>
        <v>42207.9078518518</v>
      </c>
      <c r="AR54" s="56" t="n">
        <f aca="false">AR49*other_pct</f>
        <v>42207.9078518518</v>
      </c>
      <c r="AS54" s="56" t="n">
        <f aca="false">AS49*other_pct</f>
        <v>42207.9078518518</v>
      </c>
      <c r="AT54" s="56" t="n">
        <f aca="false">AT49*other_pct</f>
        <v>42207.9078518518</v>
      </c>
      <c r="AU54" s="56" t="n">
        <f aca="false">AU49*other_pct</f>
        <v>42207.9078518518</v>
      </c>
      <c r="AV54" s="56" t="n">
        <f aca="false">AV49*other_pct</f>
        <v>42207.9078518518</v>
      </c>
      <c r="AW54" s="56" t="n">
        <f aca="false">AW49*other_pct</f>
        <v>42207.9078518518</v>
      </c>
      <c r="AX54" s="56" t="n">
        <f aca="false">AX49*other_pct</f>
        <v>42207.9078518518</v>
      </c>
      <c r="AY54" s="56" t="n">
        <f aca="false">AY49*other_pct</f>
        <v>42207.9078518518</v>
      </c>
      <c r="AZ54" s="56" t="n">
        <f aca="false">AZ49*other_pct</f>
        <v>42207.9078518518</v>
      </c>
      <c r="BA54" s="56" t="n">
        <f aca="false">BA49*other_pct</f>
        <v>42207.9078518518</v>
      </c>
      <c r="BB54" s="56" t="n">
        <f aca="false">BB49*other_pct</f>
        <v>42207.9078518518</v>
      </c>
      <c r="BC54" s="56" t="n">
        <f aca="false">BC49*other_pct</f>
        <v>42207.9078518518</v>
      </c>
      <c r="BD54" s="56" t="n">
        <f aca="false">BD49*other_pct</f>
        <v>42207.9078518518</v>
      </c>
      <c r="BE54" s="56" t="n">
        <f aca="false">BE49*other_pct</f>
        <v>42207.9078518518</v>
      </c>
      <c r="BF54" s="56" t="n">
        <f aca="false">BF49*other_pct</f>
        <v>42207.9078518518</v>
      </c>
      <c r="BG54" s="56" t="n">
        <f aca="false">BG49*other_pct</f>
        <v>42207.9078518518</v>
      </c>
      <c r="BH54" s="56" t="n">
        <f aca="false">BH49*other_pct</f>
        <v>42207.9078518518</v>
      </c>
      <c r="BI54" s="56" t="n">
        <f aca="false">BI49*other_pct</f>
        <v>42207.9078518518</v>
      </c>
      <c r="BJ54" s="56" t="n">
        <f aca="false">BJ49*other_pct</f>
        <v>42207.9078518518</v>
      </c>
      <c r="BK54" s="56" t="n">
        <f aca="false">BK49*other_pct</f>
        <v>42207.9078518518</v>
      </c>
    </row>
    <row r="55" customFormat="false" ht="15" hidden="false" customHeight="false" outlineLevel="0" collapsed="false">
      <c r="A55" s="40" t="s">
        <v>186</v>
      </c>
      <c r="B55" s="41"/>
      <c r="C55" s="41"/>
      <c r="D55" s="63" t="n">
        <f aca="false">D50-D51-D52-D53-D54</f>
        <v>-4936.01045800448</v>
      </c>
      <c r="E55" s="63" t="n">
        <f aca="false">E50-E51-E52-E53-E54</f>
        <v>-219.492672987941</v>
      </c>
      <c r="F55" s="63" t="n">
        <f aca="false">F50-F51-F52-F53-F54</f>
        <v>4497.02511202855</v>
      </c>
      <c r="G55" s="63" t="n">
        <f aca="false">G50-G51-G52-G53-G54</f>
        <v>9213.54289704509</v>
      </c>
      <c r="H55" s="63" t="n">
        <f aca="false">H50-H51-H52-H53-H54</f>
        <v>13930.0606820616</v>
      </c>
      <c r="I55" s="63" t="n">
        <f aca="false">I50-I51-I52-I53-I54</f>
        <v>18646.5784670782</v>
      </c>
      <c r="J55" s="63" t="n">
        <f aca="false">J50-J51-J52-J53-J54</f>
        <v>23363.0962520947</v>
      </c>
      <c r="K55" s="63" t="n">
        <f aca="false">K50-K51-K52-K53-K54</f>
        <v>28079.6140371112</v>
      </c>
      <c r="L55" s="63" t="n">
        <f aca="false">L50-L51-L52-L53-L54</f>
        <v>32796.1318221277</v>
      </c>
      <c r="M55" s="63" t="n">
        <f aca="false">M50-M51-M52-M53-M54</f>
        <v>37512.6496071442</v>
      </c>
      <c r="N55" s="63" t="n">
        <f aca="false">N50-N51-N52-N53-N54</f>
        <v>42229.1673921608</v>
      </c>
      <c r="O55" s="63" t="n">
        <f aca="false">O50-O51-O52-O53-O54</f>
        <v>46061.1812258702</v>
      </c>
      <c r="P55" s="63" t="n">
        <f aca="false">P50-P51-P52-P53-P54</f>
        <v>48419.0218074008</v>
      </c>
      <c r="Q55" s="63" t="n">
        <f aca="false">Q50-Q51-Q52-Q53-Q54</f>
        <v>50776.8623889315</v>
      </c>
      <c r="R55" s="63" t="n">
        <f aca="false">R50-R51-R52-R53-R54</f>
        <v>53134.7029704622</v>
      </c>
      <c r="S55" s="63" t="n">
        <f aca="false">S50-S51-S52-S53-S54</f>
        <v>55492.5435519929</v>
      </c>
      <c r="T55" s="63" t="n">
        <f aca="false">T50-T51-T52-T53-T54</f>
        <v>57850.3841335236</v>
      </c>
      <c r="U55" s="63" t="n">
        <f aca="false">U50-U51-U52-U53-U54</f>
        <v>60208.2247150543</v>
      </c>
      <c r="V55" s="63" t="n">
        <f aca="false">V50-V51-V52-V53-V54</f>
        <v>60208.2247150543</v>
      </c>
      <c r="W55" s="63" t="n">
        <f aca="false">W50-W51-W52-W53-W54</f>
        <v>60208.2247150543</v>
      </c>
      <c r="X55" s="63" t="n">
        <f aca="false">X50-X51-X52-X53-X54</f>
        <v>60208.2247150543</v>
      </c>
      <c r="Y55" s="63" t="n">
        <f aca="false">Y50-Y51-Y52-Y53-Y54</f>
        <v>60208.2247150543</v>
      </c>
      <c r="Z55" s="63" t="n">
        <f aca="false">Z50-Z51-Z52-Z53-Z54</f>
        <v>60208.2247150543</v>
      </c>
      <c r="AA55" s="63" t="n">
        <f aca="false">AA50-AA51-AA52-AA53-AA54</f>
        <v>60208.2247150543</v>
      </c>
      <c r="AB55" s="63" t="n">
        <f aca="false">AB50-AB51-AB52-AB53-AB54</f>
        <v>60208.2247150543</v>
      </c>
      <c r="AC55" s="63" t="n">
        <f aca="false">AC50-AC51-AC52-AC53-AC54</f>
        <v>60208.2247150543</v>
      </c>
      <c r="AD55" s="63" t="n">
        <f aca="false">AD50-AD51-AD52-AD53-AD54</f>
        <v>60208.2247150543</v>
      </c>
      <c r="AE55" s="63" t="n">
        <f aca="false">AE50-AE51-AE52-AE53-AE54</f>
        <v>60208.2247150543</v>
      </c>
      <c r="AF55" s="63" t="n">
        <f aca="false">AF50-AF51-AF52-AF53-AF54</f>
        <v>60208.2247150543</v>
      </c>
      <c r="AG55" s="63" t="n">
        <f aca="false">AG50-AG51-AG52-AG53-AG54</f>
        <v>60208.2247150543</v>
      </c>
      <c r="AH55" s="63" t="n">
        <f aca="false">AH50-AH51-AH52-AH53-AH54</f>
        <v>60208.2247150543</v>
      </c>
      <c r="AI55" s="63" t="n">
        <f aca="false">AI50-AI51-AI52-AI53-AI54</f>
        <v>60208.2247150543</v>
      </c>
      <c r="AJ55" s="63" t="n">
        <f aca="false">AJ50-AJ51-AJ52-AJ53-AJ54</f>
        <v>60208.2247150543</v>
      </c>
      <c r="AK55" s="63" t="n">
        <f aca="false">AK50-AK51-AK52-AK53-AK54</f>
        <v>60208.2247150543</v>
      </c>
      <c r="AL55" s="63" t="n">
        <f aca="false">AL50-AL51-AL52-AL53-AL54</f>
        <v>60208.2247150543</v>
      </c>
      <c r="AM55" s="63" t="n">
        <f aca="false">AM50-AM51-AM52-AM53-AM54</f>
        <v>60208.2247150543</v>
      </c>
      <c r="AN55" s="63" t="n">
        <f aca="false">AN50-AN51-AN52-AN53-AN54</f>
        <v>60208.2247150543</v>
      </c>
      <c r="AO55" s="63" t="n">
        <f aca="false">AO50-AO51-AO52-AO53-AO54</f>
        <v>60208.2247150543</v>
      </c>
      <c r="AP55" s="63" t="n">
        <f aca="false">AP50-AP51-AP52-AP53-AP54</f>
        <v>60208.2247150543</v>
      </c>
      <c r="AQ55" s="63" t="n">
        <f aca="false">AQ50-AQ51-AQ52-AQ53-AQ54</f>
        <v>60208.2247150543</v>
      </c>
      <c r="AR55" s="63" t="n">
        <f aca="false">AR50-AR51-AR52-AR53-AR54</f>
        <v>60208.2247150543</v>
      </c>
      <c r="AS55" s="63" t="n">
        <f aca="false">AS50-AS51-AS52-AS53-AS54</f>
        <v>60208.2247150543</v>
      </c>
      <c r="AT55" s="63" t="n">
        <f aca="false">AT50-AT51-AT52-AT53-AT54</f>
        <v>60208.2247150543</v>
      </c>
      <c r="AU55" s="63" t="n">
        <f aca="false">AU50-AU51-AU52-AU53-AU54</f>
        <v>60208.2247150543</v>
      </c>
      <c r="AV55" s="63" t="n">
        <f aca="false">AV50-AV51-AV52-AV53-AV54</f>
        <v>60208.2247150543</v>
      </c>
      <c r="AW55" s="63" t="n">
        <f aca="false">AW50-AW51-AW52-AW53-AW54</f>
        <v>60208.2247150543</v>
      </c>
      <c r="AX55" s="63" t="n">
        <f aca="false">AX50-AX51-AX52-AX53-AX54</f>
        <v>60208.2247150543</v>
      </c>
      <c r="AY55" s="63" t="n">
        <f aca="false">AY50-AY51-AY52-AY53-AY54</f>
        <v>60208.2247150543</v>
      </c>
      <c r="AZ55" s="63" t="n">
        <f aca="false">AZ50-AZ51-AZ52-AZ53-AZ54</f>
        <v>60208.2247150543</v>
      </c>
      <c r="BA55" s="63" t="n">
        <f aca="false">BA50-BA51-BA52-BA53-BA54</f>
        <v>60208.2247150543</v>
      </c>
      <c r="BB55" s="63" t="n">
        <f aca="false">BB50-BB51-BB52-BB53-BB54</f>
        <v>60208.2247150543</v>
      </c>
      <c r="BC55" s="63" t="n">
        <f aca="false">BC50-BC51-BC52-BC53-BC54</f>
        <v>60208.2247150543</v>
      </c>
      <c r="BD55" s="63" t="n">
        <f aca="false">BD50-BD51-BD52-BD53-BD54</f>
        <v>60208.2247150543</v>
      </c>
      <c r="BE55" s="63" t="n">
        <f aca="false">BE50-BE51-BE52-BE53-BE54</f>
        <v>60208.2247150543</v>
      </c>
      <c r="BF55" s="63" t="n">
        <f aca="false">BF50-BF51-BF52-BF53-BF54</f>
        <v>60208.2247150543</v>
      </c>
      <c r="BG55" s="63" t="n">
        <f aca="false">BG50-BG51-BG52-BG53-BG54</f>
        <v>60208.2247150543</v>
      </c>
      <c r="BH55" s="63" t="n">
        <f aca="false">BH50-BH51-BH52-BH53-BH54</f>
        <v>60208.2247150543</v>
      </c>
      <c r="BI55" s="63" t="n">
        <f aca="false">BI50-BI51-BI52-BI53-BI54</f>
        <v>60208.2247150543</v>
      </c>
      <c r="BJ55" s="63" t="n">
        <f aca="false">BJ50-BJ51-BJ52-BJ53-BJ54</f>
        <v>60208.2247150543</v>
      </c>
      <c r="BK55" s="63" t="n">
        <f aca="false">BK50-BK51-BK52-BK53-BK54</f>
        <v>60208.2247150543</v>
      </c>
    </row>
    <row r="56" customFormat="false" ht="15" hidden="false" customHeight="false" outlineLevel="0" collapsed="false">
      <c r="A56" s="5" t="s">
        <v>196</v>
      </c>
      <c r="C56" s="56" t="n">
        <f aca="false">-ns_invest</f>
        <v>-2350000</v>
      </c>
    </row>
    <row r="57" customFormat="false" ht="15" hidden="false" customHeight="false" outlineLevel="0" collapsed="false">
      <c r="A57" s="5" t="s">
        <v>197</v>
      </c>
      <c r="C57" s="56" t="n">
        <f aca="false">C55+C56</f>
        <v>-2350000</v>
      </c>
      <c r="D57" s="56" t="n">
        <f aca="false">D55+D56</f>
        <v>-4936.01045800448</v>
      </c>
      <c r="E57" s="56" t="n">
        <f aca="false">E55+E56</f>
        <v>-219.492672987941</v>
      </c>
      <c r="F57" s="56" t="n">
        <f aca="false">F55+F56</f>
        <v>4497.02511202855</v>
      </c>
      <c r="G57" s="56" t="n">
        <f aca="false">G55+G56</f>
        <v>9213.54289704509</v>
      </c>
      <c r="H57" s="56" t="n">
        <f aca="false">H55+H56</f>
        <v>13930.0606820616</v>
      </c>
      <c r="I57" s="56" t="n">
        <f aca="false">I55+I56</f>
        <v>18646.5784670782</v>
      </c>
      <c r="J57" s="56" t="n">
        <f aca="false">J55+J56</f>
        <v>23363.0962520947</v>
      </c>
      <c r="K57" s="56" t="n">
        <f aca="false">K55+K56</f>
        <v>28079.6140371112</v>
      </c>
      <c r="L57" s="56" t="n">
        <f aca="false">L55+L56</f>
        <v>32796.1318221277</v>
      </c>
      <c r="M57" s="56" t="n">
        <f aca="false">M55+M56</f>
        <v>37512.6496071442</v>
      </c>
      <c r="N57" s="56" t="n">
        <f aca="false">N55+N56</f>
        <v>42229.1673921608</v>
      </c>
      <c r="O57" s="56" t="n">
        <f aca="false">O55+O56</f>
        <v>46061.1812258702</v>
      </c>
      <c r="P57" s="56" t="n">
        <f aca="false">P55+P56</f>
        <v>48419.0218074008</v>
      </c>
      <c r="Q57" s="56" t="n">
        <f aca="false">Q55+Q56</f>
        <v>50776.8623889315</v>
      </c>
      <c r="R57" s="56" t="n">
        <f aca="false">R55+R56</f>
        <v>53134.7029704622</v>
      </c>
      <c r="S57" s="56" t="n">
        <f aca="false">S55+S56</f>
        <v>55492.5435519929</v>
      </c>
      <c r="T57" s="56" t="n">
        <f aca="false">T55+T56</f>
        <v>57850.3841335236</v>
      </c>
      <c r="U57" s="56" t="n">
        <f aca="false">U55+U56</f>
        <v>60208.2247150543</v>
      </c>
      <c r="V57" s="56" t="n">
        <f aca="false">V55+V56</f>
        <v>60208.2247150543</v>
      </c>
      <c r="W57" s="56" t="n">
        <f aca="false">W55+W56</f>
        <v>60208.2247150543</v>
      </c>
      <c r="X57" s="56" t="n">
        <f aca="false">X55+X56</f>
        <v>60208.2247150543</v>
      </c>
      <c r="Y57" s="56" t="n">
        <f aca="false">Y55+Y56</f>
        <v>60208.2247150543</v>
      </c>
      <c r="Z57" s="56" t="n">
        <f aca="false">Z55+Z56</f>
        <v>60208.2247150543</v>
      </c>
      <c r="AA57" s="56" t="n">
        <f aca="false">AA55+AA56</f>
        <v>60208.2247150543</v>
      </c>
      <c r="AB57" s="56" t="n">
        <f aca="false">AB55+AB56</f>
        <v>60208.2247150543</v>
      </c>
      <c r="AC57" s="56" t="n">
        <f aca="false">AC55+AC56</f>
        <v>60208.2247150543</v>
      </c>
      <c r="AD57" s="56" t="n">
        <f aca="false">AD55+AD56</f>
        <v>60208.2247150543</v>
      </c>
      <c r="AE57" s="56" t="n">
        <f aca="false">AE55+AE56</f>
        <v>60208.2247150543</v>
      </c>
      <c r="AF57" s="56" t="n">
        <f aca="false">AF55+AF56</f>
        <v>60208.2247150543</v>
      </c>
      <c r="AG57" s="56" t="n">
        <f aca="false">AG55+AG56</f>
        <v>60208.2247150543</v>
      </c>
      <c r="AH57" s="56" t="n">
        <f aca="false">AH55+AH56</f>
        <v>60208.2247150543</v>
      </c>
      <c r="AI57" s="56" t="n">
        <f aca="false">AI55+AI56</f>
        <v>60208.2247150543</v>
      </c>
      <c r="AJ57" s="56" t="n">
        <f aca="false">AJ55+AJ56</f>
        <v>60208.2247150543</v>
      </c>
      <c r="AK57" s="56" t="n">
        <f aca="false">AK55+AK56</f>
        <v>60208.2247150543</v>
      </c>
      <c r="AL57" s="56" t="n">
        <f aca="false">AL55+AL56</f>
        <v>60208.2247150543</v>
      </c>
      <c r="AM57" s="56" t="n">
        <f aca="false">AM55+AM56</f>
        <v>60208.2247150543</v>
      </c>
      <c r="AN57" s="56" t="n">
        <f aca="false">AN55+AN56</f>
        <v>60208.2247150543</v>
      </c>
      <c r="AO57" s="56" t="n">
        <f aca="false">AO55+AO56</f>
        <v>60208.2247150543</v>
      </c>
      <c r="AP57" s="56" t="n">
        <f aca="false">AP55+AP56</f>
        <v>60208.2247150543</v>
      </c>
      <c r="AQ57" s="56" t="n">
        <f aca="false">AQ55+AQ56</f>
        <v>60208.2247150543</v>
      </c>
      <c r="AR57" s="56" t="n">
        <f aca="false">AR55+AR56</f>
        <v>60208.2247150543</v>
      </c>
      <c r="AS57" s="56" t="n">
        <f aca="false">AS55+AS56</f>
        <v>60208.2247150543</v>
      </c>
      <c r="AT57" s="56" t="n">
        <f aca="false">AT55+AT56</f>
        <v>60208.2247150543</v>
      </c>
      <c r="AU57" s="56" t="n">
        <f aca="false">AU55+AU56</f>
        <v>60208.2247150543</v>
      </c>
      <c r="AV57" s="56" t="n">
        <f aca="false">AV55+AV56</f>
        <v>60208.2247150543</v>
      </c>
      <c r="AW57" s="56" t="n">
        <f aca="false">AW55+AW56</f>
        <v>60208.2247150543</v>
      </c>
      <c r="AX57" s="56" t="n">
        <f aca="false">AX55+AX56</f>
        <v>60208.2247150543</v>
      </c>
      <c r="AY57" s="56" t="n">
        <f aca="false">AY55+AY56</f>
        <v>60208.2247150543</v>
      </c>
      <c r="AZ57" s="56" t="n">
        <f aca="false">AZ55+AZ56</f>
        <v>60208.2247150543</v>
      </c>
      <c r="BA57" s="56" t="n">
        <f aca="false">BA55+BA56</f>
        <v>60208.2247150543</v>
      </c>
      <c r="BB57" s="56" t="n">
        <f aca="false">BB55+BB56</f>
        <v>60208.2247150543</v>
      </c>
      <c r="BC57" s="56" t="n">
        <f aca="false">BC55+BC56</f>
        <v>60208.2247150543</v>
      </c>
      <c r="BD57" s="56" t="n">
        <f aca="false">BD55+BD56</f>
        <v>60208.2247150543</v>
      </c>
      <c r="BE57" s="56" t="n">
        <f aca="false">BE55+BE56</f>
        <v>60208.2247150543</v>
      </c>
      <c r="BF57" s="56" t="n">
        <f aca="false">BF55+BF56</f>
        <v>60208.2247150543</v>
      </c>
      <c r="BG57" s="56" t="n">
        <f aca="false">BG55+BG56</f>
        <v>60208.2247150543</v>
      </c>
      <c r="BH57" s="56" t="n">
        <f aca="false">BH55+BH56</f>
        <v>60208.2247150543</v>
      </c>
      <c r="BI57" s="56" t="n">
        <f aca="false">BI55+BI56</f>
        <v>60208.2247150543</v>
      </c>
      <c r="BJ57" s="56" t="n">
        <f aca="false">BJ55+BJ56</f>
        <v>60208.2247150543</v>
      </c>
      <c r="BK57" s="56" t="n">
        <f aca="false">BK55+BK56</f>
        <v>60208.2247150543</v>
      </c>
    </row>
    <row r="58" customFormat="false" ht="15" hidden="false" customHeight="false" outlineLevel="0" collapsed="false">
      <c r="A58" s="9" t="s">
        <v>198</v>
      </c>
      <c r="C58" s="64" t="n">
        <f aca="false">C57</f>
        <v>-2350000</v>
      </c>
      <c r="D58" s="64" t="n">
        <f aca="false">C58+D57</f>
        <v>-2354936.010458</v>
      </c>
      <c r="E58" s="64" t="n">
        <f aca="false">D58+E57</f>
        <v>-2355155.50313099</v>
      </c>
      <c r="F58" s="64" t="n">
        <f aca="false">E58+F57</f>
        <v>-2350658.47801896</v>
      </c>
      <c r="G58" s="64" t="n">
        <f aca="false">F58+G57</f>
        <v>-2341444.93512192</v>
      </c>
      <c r="H58" s="64" t="n">
        <f aca="false">G58+H57</f>
        <v>-2327514.87443986</v>
      </c>
      <c r="I58" s="64" t="n">
        <f aca="false">H58+I57</f>
        <v>-2308868.29597278</v>
      </c>
      <c r="J58" s="64" t="n">
        <f aca="false">I58+J57</f>
        <v>-2285505.19972068</v>
      </c>
      <c r="K58" s="64" t="n">
        <f aca="false">J58+K57</f>
        <v>-2257425.58568357</v>
      </c>
      <c r="L58" s="64" t="n">
        <f aca="false">K58+L57</f>
        <v>-2224629.45386145</v>
      </c>
      <c r="M58" s="64" t="n">
        <f aca="false">L58+M57</f>
        <v>-2187116.8042543</v>
      </c>
      <c r="N58" s="64" t="n">
        <f aca="false">M58+N57</f>
        <v>-2144887.63686214</v>
      </c>
      <c r="O58" s="64" t="n">
        <f aca="false">N58+O57</f>
        <v>-2098826.45563627</v>
      </c>
      <c r="P58" s="64" t="n">
        <f aca="false">O58+P57</f>
        <v>-2050407.43382887</v>
      </c>
      <c r="Q58" s="64" t="n">
        <f aca="false">P58+Q57</f>
        <v>-1999630.57143994</v>
      </c>
      <c r="R58" s="64" t="n">
        <f aca="false">Q58+R57</f>
        <v>-1946495.86846948</v>
      </c>
      <c r="S58" s="64" t="n">
        <f aca="false">R58+S57</f>
        <v>-1891003.32491748</v>
      </c>
      <c r="T58" s="64" t="n">
        <f aca="false">S58+T57</f>
        <v>-1833152.94078396</v>
      </c>
      <c r="U58" s="64" t="n">
        <f aca="false">T58+U57</f>
        <v>-1772944.7160689</v>
      </c>
      <c r="V58" s="64" t="n">
        <f aca="false">U58+V57</f>
        <v>-1712736.49135385</v>
      </c>
      <c r="W58" s="64" t="n">
        <f aca="false">V58+W57</f>
        <v>-1652528.2666388</v>
      </c>
      <c r="X58" s="64" t="n">
        <f aca="false">W58+X57</f>
        <v>-1592320.04192374</v>
      </c>
      <c r="Y58" s="64" t="n">
        <f aca="false">X58+Y57</f>
        <v>-1532111.81720869</v>
      </c>
      <c r="Z58" s="64" t="n">
        <f aca="false">Y58+Z57</f>
        <v>-1471903.59249363</v>
      </c>
      <c r="AA58" s="64" t="n">
        <f aca="false">Z58+AA57</f>
        <v>-1411695.36777858</v>
      </c>
      <c r="AB58" s="64" t="n">
        <f aca="false">AA58+AB57</f>
        <v>-1351487.14306353</v>
      </c>
      <c r="AC58" s="64" t="n">
        <f aca="false">AB58+AC57</f>
        <v>-1291278.91834847</v>
      </c>
      <c r="AD58" s="64" t="n">
        <f aca="false">AC58+AD57</f>
        <v>-1231070.69363342</v>
      </c>
      <c r="AE58" s="64" t="n">
        <f aca="false">AD58+AE57</f>
        <v>-1170862.46891836</v>
      </c>
      <c r="AF58" s="64" t="n">
        <f aca="false">AE58+AF57</f>
        <v>-1110654.24420331</v>
      </c>
      <c r="AG58" s="64" t="n">
        <f aca="false">AF58+AG57</f>
        <v>-1050446.01948825</v>
      </c>
      <c r="AH58" s="64" t="n">
        <f aca="false">AG58+AH57</f>
        <v>-990237.794773199</v>
      </c>
      <c r="AI58" s="64" t="n">
        <f aca="false">AH58+AI57</f>
        <v>-930029.570058145</v>
      </c>
      <c r="AJ58" s="64" t="n">
        <f aca="false">AI58+AJ57</f>
        <v>-869821.345343091</v>
      </c>
      <c r="AK58" s="64" t="n">
        <f aca="false">AJ58+AK57</f>
        <v>-809613.120628037</v>
      </c>
      <c r="AL58" s="64" t="n">
        <f aca="false">AK58+AL57</f>
        <v>-749404.895912982</v>
      </c>
      <c r="AM58" s="64" t="n">
        <f aca="false">AL58+AM57</f>
        <v>-689196.671197928</v>
      </c>
      <c r="AN58" s="64" t="n">
        <f aca="false">AM58+AN57</f>
        <v>-628988.446482874</v>
      </c>
      <c r="AO58" s="64" t="n">
        <f aca="false">AN58+AO57</f>
        <v>-568780.22176782</v>
      </c>
      <c r="AP58" s="64" t="n">
        <f aca="false">AO58+AP57</f>
        <v>-508571.997052765</v>
      </c>
      <c r="AQ58" s="64" t="n">
        <f aca="false">AP58+AQ57</f>
        <v>-448363.772337711</v>
      </c>
      <c r="AR58" s="64" t="n">
        <f aca="false">AQ58+AR57</f>
        <v>-388155.547622657</v>
      </c>
      <c r="AS58" s="64" t="n">
        <f aca="false">AR58+AS57</f>
        <v>-327947.322907602</v>
      </c>
      <c r="AT58" s="64" t="n">
        <f aca="false">AS58+AT57</f>
        <v>-267739.098192548</v>
      </c>
      <c r="AU58" s="64" t="n">
        <f aca="false">AT58+AU57</f>
        <v>-207530.873477494</v>
      </c>
      <c r="AV58" s="64" t="n">
        <f aca="false">AU58+AV57</f>
        <v>-147322.64876244</v>
      </c>
      <c r="AW58" s="64" t="n">
        <f aca="false">AV58+AW57</f>
        <v>-87114.4240473853</v>
      </c>
      <c r="AX58" s="64" t="n">
        <f aca="false">AW58+AX57</f>
        <v>-26906.1993323311</v>
      </c>
      <c r="AY58" s="64" t="n">
        <f aca="false">AX58+AY57</f>
        <v>33302.0253827232</v>
      </c>
      <c r="AZ58" s="64" t="n">
        <f aca="false">AY58+AZ57</f>
        <v>93510.2500977774</v>
      </c>
      <c r="BA58" s="64" t="n">
        <f aca="false">AZ58+BA57</f>
        <v>153718.474812832</v>
      </c>
      <c r="BB58" s="64" t="n">
        <f aca="false">BA58+BB57</f>
        <v>213926.699527886</v>
      </c>
      <c r="BC58" s="64" t="n">
        <f aca="false">BB58+BC57</f>
        <v>274134.92424294</v>
      </c>
      <c r="BD58" s="64" t="n">
        <f aca="false">BC58+BD57</f>
        <v>334343.148957995</v>
      </c>
      <c r="BE58" s="64" t="n">
        <f aca="false">BD58+BE57</f>
        <v>394551.373673049</v>
      </c>
      <c r="BF58" s="64" t="n">
        <f aca="false">BE58+BF57</f>
        <v>454759.598388103</v>
      </c>
      <c r="BG58" s="64" t="n">
        <f aca="false">BF58+BG57</f>
        <v>514967.823103157</v>
      </c>
      <c r="BH58" s="64" t="n">
        <f aca="false">BG58+BH57</f>
        <v>575176.047818212</v>
      </c>
      <c r="BI58" s="64" t="n">
        <f aca="false">BH58+BI57</f>
        <v>635384.272533266</v>
      </c>
      <c r="BJ58" s="64" t="n">
        <f aca="false">BI58+BJ57</f>
        <v>695592.49724832</v>
      </c>
      <c r="BK58" s="64" t="n">
        <f aca="false">BJ58+BK57</f>
        <v>755800.721963374</v>
      </c>
    </row>
    <row r="59" customFormat="false" ht="15" hidden="false" customHeight="false" outlineLevel="0" collapsed="false">
      <c r="A59" s="2" t="s">
        <v>199</v>
      </c>
      <c r="D59" s="65" t="n">
        <f aca="false">IF(D58&gt;=0,D$46,999)</f>
        <v>999</v>
      </c>
      <c r="E59" s="65" t="n">
        <f aca="false">IF(E58&gt;=0,E$46,999)</f>
        <v>999</v>
      </c>
      <c r="F59" s="65" t="n">
        <f aca="false">IF(F58&gt;=0,F$46,999)</f>
        <v>999</v>
      </c>
      <c r="G59" s="65" t="n">
        <f aca="false">IF(G58&gt;=0,G$46,999)</f>
        <v>999</v>
      </c>
      <c r="H59" s="65" t="n">
        <f aca="false">IF(H58&gt;=0,H$46,999)</f>
        <v>999</v>
      </c>
      <c r="I59" s="65" t="n">
        <f aca="false">IF(I58&gt;=0,I$46,999)</f>
        <v>999</v>
      </c>
      <c r="J59" s="65" t="n">
        <f aca="false">IF(J58&gt;=0,J$46,999)</f>
        <v>999</v>
      </c>
      <c r="K59" s="65" t="n">
        <f aca="false">IF(K58&gt;=0,K$46,999)</f>
        <v>999</v>
      </c>
      <c r="L59" s="65" t="n">
        <f aca="false">IF(L58&gt;=0,L$46,999)</f>
        <v>999</v>
      </c>
      <c r="M59" s="65" t="n">
        <f aca="false">IF(M58&gt;=0,M$46,999)</f>
        <v>999</v>
      </c>
      <c r="N59" s="65" t="n">
        <f aca="false">IF(N58&gt;=0,N$46,999)</f>
        <v>999</v>
      </c>
      <c r="O59" s="65" t="n">
        <f aca="false">IF(O58&gt;=0,O$46,999)</f>
        <v>999</v>
      </c>
      <c r="P59" s="65" t="n">
        <f aca="false">IF(P58&gt;=0,P$46,999)</f>
        <v>999</v>
      </c>
      <c r="Q59" s="65" t="n">
        <f aca="false">IF(Q58&gt;=0,Q$46,999)</f>
        <v>999</v>
      </c>
      <c r="R59" s="65" t="n">
        <f aca="false">IF(R58&gt;=0,R$46,999)</f>
        <v>999</v>
      </c>
      <c r="S59" s="65" t="n">
        <f aca="false">IF(S58&gt;=0,S$46,999)</f>
        <v>999</v>
      </c>
      <c r="T59" s="65" t="n">
        <f aca="false">IF(T58&gt;=0,T$46,999)</f>
        <v>999</v>
      </c>
      <c r="U59" s="65" t="n">
        <f aca="false">IF(U58&gt;=0,U$46,999)</f>
        <v>999</v>
      </c>
      <c r="V59" s="65" t="n">
        <f aca="false">IF(V58&gt;=0,V$46,999)</f>
        <v>999</v>
      </c>
      <c r="W59" s="65" t="n">
        <f aca="false">IF(W58&gt;=0,W$46,999)</f>
        <v>999</v>
      </c>
      <c r="X59" s="65" t="n">
        <f aca="false">IF(X58&gt;=0,X$46,999)</f>
        <v>999</v>
      </c>
      <c r="Y59" s="65" t="n">
        <f aca="false">IF(Y58&gt;=0,Y$46,999)</f>
        <v>999</v>
      </c>
      <c r="Z59" s="65" t="n">
        <f aca="false">IF(Z58&gt;=0,Z$46,999)</f>
        <v>999</v>
      </c>
      <c r="AA59" s="66" t="n">
        <f aca="false">IF(AA58&gt;=0,AA$46,999)</f>
        <v>999</v>
      </c>
      <c r="AB59" s="66" t="n">
        <f aca="false">IF(AB58&gt;=0,AB$46,999)</f>
        <v>999</v>
      </c>
      <c r="AC59" s="66" t="n">
        <f aca="false">IF(AC58&gt;=0,AC$46,999)</f>
        <v>999</v>
      </c>
      <c r="AD59" s="66" t="n">
        <f aca="false">IF(AD58&gt;=0,AD$46,999)</f>
        <v>999</v>
      </c>
      <c r="AE59" s="66" t="n">
        <f aca="false">IF(AE58&gt;=0,AE$46,999)</f>
        <v>999</v>
      </c>
      <c r="AF59" s="66" t="n">
        <f aca="false">IF(AF58&gt;=0,AF$46,999)</f>
        <v>999</v>
      </c>
      <c r="AG59" s="66" t="n">
        <f aca="false">IF(AG58&gt;=0,AG$46,999)</f>
        <v>999</v>
      </c>
      <c r="AH59" s="66" t="n">
        <f aca="false">IF(AH58&gt;=0,AH$46,999)</f>
        <v>999</v>
      </c>
      <c r="AI59" s="66" t="n">
        <f aca="false">IF(AI58&gt;=0,AI$46,999)</f>
        <v>999</v>
      </c>
      <c r="AJ59" s="66" t="n">
        <f aca="false">IF(AJ58&gt;=0,AJ$46,999)</f>
        <v>999</v>
      </c>
      <c r="AK59" s="66" t="n">
        <f aca="false">IF(AK58&gt;=0,AK$46,999)</f>
        <v>999</v>
      </c>
      <c r="AL59" s="66" t="n">
        <f aca="false">IF(AL58&gt;=0,AL$46,999)</f>
        <v>999</v>
      </c>
      <c r="AM59" s="66" t="n">
        <f aca="false">IF(AM58&gt;=0,AM$46,999)</f>
        <v>999</v>
      </c>
      <c r="AN59" s="66" t="n">
        <f aca="false">IF(AN58&gt;=0,AN$46,999)</f>
        <v>999</v>
      </c>
      <c r="AO59" s="66" t="n">
        <f aca="false">IF(AO58&gt;=0,AO$46,999)</f>
        <v>999</v>
      </c>
      <c r="AP59" s="66" t="n">
        <f aca="false">IF(AP58&gt;=0,AP$46,999)</f>
        <v>999</v>
      </c>
      <c r="AQ59" s="66" t="n">
        <f aca="false">IF(AQ58&gt;=0,AQ$46,999)</f>
        <v>999</v>
      </c>
      <c r="AR59" s="66" t="n">
        <f aca="false">IF(AR58&gt;=0,AR$46,999)</f>
        <v>999</v>
      </c>
      <c r="AS59" s="66" t="n">
        <f aca="false">IF(AS58&gt;=0,AS$46,999)</f>
        <v>999</v>
      </c>
      <c r="AT59" s="66" t="n">
        <f aca="false">IF(AT58&gt;=0,AT$46,999)</f>
        <v>999</v>
      </c>
      <c r="AU59" s="66" t="n">
        <f aca="false">IF(AU58&gt;=0,AU$46,999)</f>
        <v>999</v>
      </c>
      <c r="AV59" s="66" t="n">
        <f aca="false">IF(AV58&gt;=0,AV$46,999)</f>
        <v>999</v>
      </c>
      <c r="AW59" s="66" t="n">
        <f aca="false">IF(AW58&gt;=0,AW$46,999)</f>
        <v>999</v>
      </c>
      <c r="AX59" s="66" t="n">
        <f aca="false">IF(AX58&gt;=0,AX$46,999)</f>
        <v>999</v>
      </c>
      <c r="AY59" s="66" t="n">
        <f aca="false">IF(AY58&gt;=0,AY$46,999)</f>
        <v>48</v>
      </c>
      <c r="AZ59" s="66" t="n">
        <f aca="false">IF(AZ58&gt;=0,AZ$46,999)</f>
        <v>49</v>
      </c>
      <c r="BA59" s="65" t="n">
        <f aca="false">IF(BA58&gt;=0,BA$46,999)</f>
        <v>50</v>
      </c>
      <c r="BB59" s="65" t="n">
        <f aca="false">IF(BB58&gt;=0,BB$46,999)</f>
        <v>51</v>
      </c>
      <c r="BC59" s="65" t="n">
        <f aca="false">IF(BC58&gt;=0,BC$46,999)</f>
        <v>52</v>
      </c>
      <c r="BD59" s="65" t="n">
        <f aca="false">IF(BD58&gt;=0,BD$46,999)</f>
        <v>53</v>
      </c>
      <c r="BE59" s="65" t="n">
        <f aca="false">IF(BE58&gt;=0,BE$46,999)</f>
        <v>54</v>
      </c>
      <c r="BF59" s="65" t="n">
        <f aca="false">IF(BF58&gt;=0,BF$46,999)</f>
        <v>55</v>
      </c>
      <c r="BG59" s="65" t="n">
        <f aca="false">IF(BG58&gt;=0,BG$46,999)</f>
        <v>56</v>
      </c>
      <c r="BH59" s="65" t="n">
        <f aca="false">IF(BH58&gt;=0,BH$46,999)</f>
        <v>57</v>
      </c>
      <c r="BI59" s="65" t="n">
        <f aca="false">IF(BI58&gt;=0,BI$46,999)</f>
        <v>58</v>
      </c>
      <c r="BJ59" s="65" t="n">
        <f aca="false">IF(BJ58&gt;=0,BJ$46,999)</f>
        <v>59</v>
      </c>
      <c r="BK59" s="65" t="n">
        <f aca="false">IF(BK58&gt;=0,BK$46,999)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5" min="3" style="0" width="13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tr">
        <f aca="false">"Existing stores grow from today's run-rate; new stores follow the New Store sheet. Scenario: "&amp;scenario</f>
        <v>Existing stores grow from today's run-rate; new stores follow the New Store sheet. Scenario: Base</v>
      </c>
    </row>
    <row r="3" customFormat="false" ht="15" hidden="false" customHeight="false" outlineLevel="0" collapsed="false">
      <c r="A3" s="2" t="s">
        <v>201</v>
      </c>
    </row>
    <row r="4" customFormat="false" ht="15" hidden="false" customHeight="false" outlineLevel="0" collapsed="false">
      <c r="A4" s="13"/>
      <c r="B4" s="14" t="s">
        <v>15</v>
      </c>
      <c r="C4" s="14" t="s">
        <v>16</v>
      </c>
      <c r="D4" s="14" t="s">
        <v>17</v>
      </c>
      <c r="E4" s="14" t="s">
        <v>18</v>
      </c>
      <c r="F4" s="23" t="s">
        <v>46</v>
      </c>
    </row>
    <row r="5" customFormat="false" ht="15" hidden="false" customHeight="false" outlineLevel="0" collapsed="false">
      <c r="A5" s="3" t="s">
        <v>175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202</v>
      </c>
      <c r="C6" s="17" t="n">
        <f aca="false">open_2027</f>
        <v>1</v>
      </c>
      <c r="D6" s="17" t="n">
        <f aca="false">open_2028</f>
        <v>1</v>
      </c>
      <c r="E6" s="17" t="n">
        <f aca="false">open_2029</f>
        <v>1</v>
      </c>
    </row>
    <row r="7" customFormat="false" ht="15" hidden="false" customHeight="false" outlineLevel="0" collapsed="false">
      <c r="A7" s="5" t="s">
        <v>22</v>
      </c>
      <c r="B7" s="47" t="n">
        <f aca="false">COUNTA(Actuals!$A$7:$A$9)</f>
        <v>3</v>
      </c>
      <c r="C7" s="47" t="n">
        <f aca="false">B7+C6</f>
        <v>4</v>
      </c>
      <c r="D7" s="47" t="n">
        <f aca="false">C7+D6</f>
        <v>5</v>
      </c>
      <c r="E7" s="47" t="n">
        <f aca="false">D7+E6</f>
        <v>6</v>
      </c>
    </row>
    <row r="8" customFormat="false" ht="15" hidden="false" customHeight="false" outlineLevel="0" collapsed="false">
      <c r="A8" s="5" t="s">
        <v>203</v>
      </c>
      <c r="B8" s="47" t="n">
        <f aca="false">sqft_s1+sqft_s2+sqft_s3</f>
        <v>27000</v>
      </c>
      <c r="C8" s="47" t="n">
        <f aca="false">B8+C6*sqft_new</f>
        <v>35000</v>
      </c>
      <c r="D8" s="47" t="n">
        <f aca="false">C8+D6*sqft_new</f>
        <v>43000</v>
      </c>
      <c r="E8" s="47" t="n">
        <f aca="false">D8+E6*sqft_new</f>
        <v>51000</v>
      </c>
    </row>
    <row r="9" customFormat="false" ht="15" hidden="false" customHeight="false" outlineLevel="0" collapsed="false">
      <c r="A9" s="5" t="s">
        <v>204</v>
      </c>
      <c r="C9" s="49" t="n">
        <f aca="false">app_ramp_27</f>
        <v>0.333333333333333</v>
      </c>
      <c r="D9" s="49" t="n">
        <f aca="false">app_ramp_28</f>
        <v>0.666666666666667</v>
      </c>
      <c r="E9" s="49" t="n">
        <f aca="false">app_ramp_29</f>
        <v>1</v>
      </c>
    </row>
    <row r="10" customFormat="false" ht="15" hidden="false" customHeight="false" outlineLevel="0" collapsed="false">
      <c r="A10" s="5" t="s">
        <v>205</v>
      </c>
      <c r="B10" s="47" t="n">
        <f aca="false">member_tx/visits</f>
        <v>1595.75</v>
      </c>
      <c r="C10" s="47" t="n">
        <f aca="false">B10*(1+g_members)</f>
        <v>1914.9</v>
      </c>
      <c r="D10" s="47" t="n">
        <f aca="false">C10*(1+g_members)</f>
        <v>2297.88</v>
      </c>
      <c r="E10" s="47" t="n">
        <f aca="false">D10*(1+g_members)</f>
        <v>2757.456</v>
      </c>
      <c r="F10" s="22" t="s">
        <v>206</v>
      </c>
    </row>
    <row r="11" customFormat="false" ht="15" hidden="false" customHeight="false" outlineLevel="0" collapsed="false">
      <c r="A11" s="5" t="s">
        <v>207</v>
      </c>
      <c r="B11" s="27" t="n">
        <v>0</v>
      </c>
      <c r="C11" s="47" t="n">
        <f aca="false">C10*paid_conv</f>
        <v>478.725</v>
      </c>
      <c r="D11" s="47" t="n">
        <f aca="false">D10*paid_conv</f>
        <v>574.47</v>
      </c>
      <c r="E11" s="47" t="n">
        <f aca="false">E10*paid_conv</f>
        <v>689.364</v>
      </c>
      <c r="F11" s="22" t="s">
        <v>208</v>
      </c>
    </row>
    <row r="13" customFormat="false" ht="15" hidden="false" customHeight="false" outlineLevel="0" collapsed="false">
      <c r="A13" s="3" t="s">
        <v>19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5" t="s">
        <v>209</v>
      </c>
      <c r="B14" s="15" t="n">
        <f aca="false">grocery_runrate</f>
        <v>11983279.0491433</v>
      </c>
      <c r="C14" s="56" t="n">
        <f aca="false">B14*(1+g_grocery)</f>
        <v>12462610.2111091</v>
      </c>
      <c r="D14" s="56" t="n">
        <f aca="false">C14*(1+g_grocery)</f>
        <v>12961114.6195534</v>
      </c>
      <c r="E14" s="56" t="n">
        <f aca="false">D14*(1+g_grocery)</f>
        <v>13479559.2043356</v>
      </c>
    </row>
    <row r="15" customFormat="false" ht="15" hidden="false" customHeight="false" outlineLevel="0" collapsed="false">
      <c r="A15" s="5" t="s">
        <v>210</v>
      </c>
      <c r="B15" s="15" t="n">
        <f aca="false">cafe_runrate</f>
        <v>7218507.58497947</v>
      </c>
      <c r="C15" s="56" t="n">
        <f aca="false">B15*(1+g_cafe)</f>
        <v>7795988.19177782</v>
      </c>
      <c r="D15" s="56" t="n">
        <f aca="false">C15*(1+g_cafe)</f>
        <v>8419667.24712005</v>
      </c>
      <c r="E15" s="56" t="n">
        <f aca="false">D15*(1+g_cafe)</f>
        <v>9093240.62688965</v>
      </c>
      <c r="F15" s="22" t="s">
        <v>211</v>
      </c>
    </row>
    <row r="16" customFormat="false" ht="15" hidden="false" customHeight="false" outlineLevel="0" collapsed="false">
      <c r="A16" s="5" t="s">
        <v>212</v>
      </c>
      <c r="B16" s="67" t="n">
        <v>0</v>
      </c>
      <c r="C16" s="56" t="n">
        <f aca="false">'New Store'!$B$26*C$6</f>
        <v>4618041.68261438</v>
      </c>
      <c r="D16" s="56" t="n">
        <f aca="false">'New Store'!$C$26*C$6+'New Store'!$B$26*D$6</f>
        <v>10763016.5022222</v>
      </c>
      <c r="E16" s="56" t="n">
        <f aca="false">'New Store'!$D$26*C$6+'New Store'!$C$26*D$6+'New Store'!$B$26*E$6</f>
        <v>17094202.68</v>
      </c>
      <c r="F16" s="22" t="s">
        <v>213</v>
      </c>
    </row>
    <row r="17" customFormat="false" ht="15" hidden="false" customHeight="false" outlineLevel="0" collapsed="false">
      <c r="A17" s="5" t="s">
        <v>214</v>
      </c>
      <c r="B17" s="67" t="n">
        <v>0</v>
      </c>
      <c r="C17" s="15" t="n">
        <f aca="false">cat_y1</f>
        <v>250000</v>
      </c>
      <c r="D17" s="56" t="n">
        <f aca="false">C17*(1+g_cat)</f>
        <v>325000</v>
      </c>
      <c r="E17" s="56" t="n">
        <f aca="false">D17*(1+g_cat)</f>
        <v>422500</v>
      </c>
      <c r="F17" s="22" t="s">
        <v>215</v>
      </c>
    </row>
    <row r="18" customFormat="false" ht="15" hidden="false" customHeight="false" outlineLevel="0" collapsed="false">
      <c r="A18" s="5" t="s">
        <v>216</v>
      </c>
      <c r="B18" s="67" t="n">
        <v>0</v>
      </c>
      <c r="C18" s="56" t="n">
        <f aca="false">(C14+C15+C16)*app_pct*C9</f>
        <v>331688.53447335</v>
      </c>
      <c r="D18" s="56" t="n">
        <f aca="false">(D14+D15+D16)*app_pct*D9</f>
        <v>857167.956503885</v>
      </c>
      <c r="E18" s="56" t="n">
        <f aca="false">(E14+E15+E16)*app_pct*E9</f>
        <v>1586680.10044901</v>
      </c>
    </row>
    <row r="19" customFormat="false" ht="15" hidden="false" customHeight="false" outlineLevel="0" collapsed="false">
      <c r="A19" s="5" t="s">
        <v>217</v>
      </c>
      <c r="B19" s="56" t="n">
        <f aca="false">B11*fee</f>
        <v>0</v>
      </c>
      <c r="C19" s="56" t="n">
        <f aca="false">C11*fee</f>
        <v>47393.775</v>
      </c>
      <c r="D19" s="56" t="n">
        <f aca="false">D11*fee</f>
        <v>56872.53</v>
      </c>
      <c r="E19" s="56" t="n">
        <f aca="false">E11*fee</f>
        <v>68247.036</v>
      </c>
    </row>
    <row r="20" customFormat="false" ht="15" hidden="false" customHeight="false" outlineLevel="0" collapsed="false">
      <c r="A20" s="40" t="s">
        <v>218</v>
      </c>
      <c r="B20" s="63" t="n">
        <f aca="false">SUM(B14:B19)</f>
        <v>19201786.6341228</v>
      </c>
      <c r="C20" s="63" t="n">
        <f aca="false">SUM(C14:C19)</f>
        <v>25505722.3949746</v>
      </c>
      <c r="D20" s="63" t="n">
        <f aca="false">SUM(D14:D19)</f>
        <v>33382838.8553996</v>
      </c>
      <c r="E20" s="63" t="n">
        <f aca="false">SUM(E14:E19)</f>
        <v>41744429.6476742</v>
      </c>
    </row>
    <row r="21" customFormat="false" ht="15" hidden="false" customHeight="false" outlineLevel="0" collapsed="false">
      <c r="A21" s="5" t="s">
        <v>80</v>
      </c>
      <c r="C21" s="37" t="n">
        <f aca="false">IF(B20=0,0,C20/B20-1)</f>
        <v>0.328299438014238</v>
      </c>
      <c r="D21" s="37" t="n">
        <f aca="false">IF(C20=0,0,D20/C20-1)</f>
        <v>0.308837222425701</v>
      </c>
      <c r="E21" s="37" t="n">
        <f aca="false">IF(D20=0,0,E20/D20-1)</f>
        <v>0.250475725821088</v>
      </c>
    </row>
    <row r="23" customFormat="false" ht="15" hidden="false" customHeight="false" outlineLevel="0" collapsed="false">
      <c r="A23" s="3" t="s">
        <v>219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A24" s="5" t="s">
        <v>220</v>
      </c>
      <c r="B24" s="56" t="n">
        <f aca="false">B14*grocery_gm+B15*cafe_gm</f>
        <v>9196361.73305129</v>
      </c>
      <c r="C24" s="56" t="n">
        <f aca="false">C14*(grocery_gm+gm_delta)+C15*(cafe_gm+gm_delta)</f>
        <v>9745969.85952138</v>
      </c>
      <c r="D24" s="56" t="n">
        <f aca="false">D14*(grocery_gm+gm_delta)+D15*(cafe_gm+gm_delta)</f>
        <v>10332102.6036221</v>
      </c>
      <c r="E24" s="56" t="n">
        <f aca="false">E14*(grocery_gm+gm_delta)+E15*(cafe_gm+gm_delta)</f>
        <v>10957384.1734645</v>
      </c>
      <c r="F24" s="22" t="s">
        <v>221</v>
      </c>
    </row>
    <row r="25" customFormat="false" ht="15" hidden="false" customHeight="false" outlineLevel="0" collapsed="false">
      <c r="A25" s="5" t="s">
        <v>222</v>
      </c>
      <c r="B25" s="56" t="n">
        <f aca="false">(B14+B15)*waste_actual</f>
        <v>360695.24905177</v>
      </c>
      <c r="C25" s="56" t="n">
        <f aca="false">(C14+C15)*waste_pct</f>
        <v>384913.369654851</v>
      </c>
      <c r="D25" s="56" t="n">
        <f aca="false">(D14+D15)*waste_pct</f>
        <v>406234.855466796</v>
      </c>
      <c r="E25" s="56" t="n">
        <f aca="false">(E14+E15)*waste_pct</f>
        <v>428883.196793279</v>
      </c>
    </row>
    <row r="26" customFormat="false" ht="15" hidden="false" customHeight="false" outlineLevel="0" collapsed="false">
      <c r="A26" s="5" t="s">
        <v>223</v>
      </c>
      <c r="B26" s="56" t="n">
        <f aca="false">(B14+B15)*labor_pct_base</f>
        <v>3648339.46048333</v>
      </c>
      <c r="C26" s="56" t="n">
        <f aca="false">(C14+C15)*labor_pct</f>
        <v>3849133.69654851</v>
      </c>
      <c r="D26" s="56" t="n">
        <f aca="false">(D14+D15)*labor_pct</f>
        <v>4062348.55466796</v>
      </c>
      <c r="E26" s="56" t="n">
        <f aca="false">(E14+E15)*labor_pct</f>
        <v>4288831.96793279</v>
      </c>
      <c r="F26" s="22" t="s">
        <v>224</v>
      </c>
    </row>
    <row r="27" customFormat="false" ht="15" hidden="false" customHeight="false" outlineLevel="0" collapsed="false">
      <c r="A27" s="5" t="s">
        <v>225</v>
      </c>
      <c r="B27" s="56" t="n">
        <f aca="false">(sqft_s1+sqft_s2+sqft_s3)*rent_psf_base</f>
        <v>1620000</v>
      </c>
      <c r="C27" s="56" t="n">
        <f aca="false">(sqft_s1+sqft_s2+sqft_s3)*rent_psf</f>
        <v>1620000</v>
      </c>
      <c r="D27" s="56" t="n">
        <f aca="false">(sqft_s1+sqft_s2+sqft_s3)*rent_psf</f>
        <v>1620000</v>
      </c>
      <c r="E27" s="56" t="n">
        <f aca="false">(sqft_s1+sqft_s2+sqft_s3)*rent_psf</f>
        <v>1620000</v>
      </c>
    </row>
    <row r="28" customFormat="false" ht="15" hidden="false" customHeight="false" outlineLevel="0" collapsed="false">
      <c r="A28" s="5" t="s">
        <v>226</v>
      </c>
      <c r="B28" s="56" t="n">
        <f aca="false">(B14+B15)*other_pct_base</f>
        <v>1536142.93072982</v>
      </c>
      <c r="C28" s="56" t="n">
        <f aca="false">(C14+C15)*other_pct</f>
        <v>1620687.87223095</v>
      </c>
      <c r="D28" s="56" t="n">
        <f aca="false">(D14+D15)*other_pct</f>
        <v>1710462.54933388</v>
      </c>
      <c r="E28" s="56" t="n">
        <f aca="false">(E14+E15)*other_pct</f>
        <v>1805823.98649802</v>
      </c>
    </row>
    <row r="29" customFormat="false" ht="15" hidden="false" customHeight="false" outlineLevel="0" collapsed="false">
      <c r="A29" s="9" t="s">
        <v>227</v>
      </c>
      <c r="B29" s="64" t="n">
        <f aca="false">B24-B25-B26-B27-B28</f>
        <v>2031184.09278636</v>
      </c>
      <c r="C29" s="64" t="n">
        <f aca="false">C24-C25-C26-C27-C28</f>
        <v>2271234.92108707</v>
      </c>
      <c r="D29" s="64" t="n">
        <f aca="false">D24-D25-D26-D27-D28</f>
        <v>2533056.64415348</v>
      </c>
      <c r="E29" s="64" t="n">
        <f aca="false">E24-E25-E26-E27-E28</f>
        <v>2813845.02224039</v>
      </c>
    </row>
    <row r="30" customFormat="false" ht="15" hidden="false" customHeight="false" outlineLevel="0" collapsed="false">
      <c r="A30" s="5" t="s">
        <v>228</v>
      </c>
      <c r="B30" s="67" t="n">
        <v>0</v>
      </c>
      <c r="C30" s="56" t="n">
        <f aca="false">'New Store'!$B$32*C$6</f>
        <v>251173.54436373</v>
      </c>
      <c r="D30" s="56" t="n">
        <f aca="false">'New Store'!$C$32*C$6+'New Store'!$B$32*D$6</f>
        <v>938304.632221421</v>
      </c>
      <c r="E30" s="56" t="n">
        <f aca="false">'New Store'!$D$32*C$6+'New Store'!$C$32*D$6+'New Store'!$B$32*E$6</f>
        <v>1660803.32880207</v>
      </c>
    </row>
    <row r="31" customFormat="false" ht="15" hidden="false" customHeight="false" outlineLevel="0" collapsed="false">
      <c r="A31" s="5" t="s">
        <v>229</v>
      </c>
      <c r="B31" s="56" t="n">
        <f aca="false">B17*cat_margin</f>
        <v>0</v>
      </c>
      <c r="C31" s="56" t="n">
        <f aca="false">C17*cat_margin</f>
        <v>62500</v>
      </c>
      <c r="D31" s="56" t="n">
        <f aca="false">D17*cat_margin</f>
        <v>81250</v>
      </c>
      <c r="E31" s="56" t="n">
        <f aca="false">E17*cat_margin</f>
        <v>105625</v>
      </c>
    </row>
    <row r="32" customFormat="false" ht="15" hidden="false" customHeight="false" outlineLevel="0" collapsed="false">
      <c r="A32" s="5" t="s">
        <v>230</v>
      </c>
      <c r="B32" s="56" t="n">
        <f aca="false">B18*(gm_actual+gm_delta-app_cost)</f>
        <v>0</v>
      </c>
      <c r="C32" s="56" t="n">
        <f aca="false">C18*(gm_actual+gm_delta-app_cost)</f>
        <v>119053.830413211</v>
      </c>
      <c r="D32" s="56" t="n">
        <f aca="false">D18*(gm_actual+gm_delta-app_cost)</f>
        <v>307665.529323419</v>
      </c>
      <c r="E32" s="56" t="n">
        <f aca="false">E18*(gm_actual+gm_delta-app_cost)</f>
        <v>569511.225037688</v>
      </c>
    </row>
    <row r="33" customFormat="false" ht="15" hidden="false" customHeight="false" outlineLevel="0" collapsed="false">
      <c r="A33" s="5" t="s">
        <v>231</v>
      </c>
      <c r="B33" s="56" t="n">
        <f aca="false">B19*(1-perks_cost)</f>
        <v>0</v>
      </c>
      <c r="C33" s="56" t="n">
        <f aca="false">C19*(1-perks_cost)</f>
        <v>33175.6425</v>
      </c>
      <c r="D33" s="56" t="n">
        <f aca="false">D19*(1-perks_cost)</f>
        <v>39810.771</v>
      </c>
      <c r="E33" s="56" t="n">
        <f aca="false">E19*(1-perks_cost)</f>
        <v>47772.9252</v>
      </c>
    </row>
    <row r="34" customFormat="false" ht="15" hidden="false" customHeight="false" outlineLevel="0" collapsed="false">
      <c r="A34" s="5" t="s">
        <v>106</v>
      </c>
      <c r="B34" s="56" t="n">
        <f aca="false">B20*ho_pct_base</f>
        <v>960089.33170614</v>
      </c>
      <c r="C34" s="56" t="n">
        <f aca="false">C20*ho_pct</f>
        <v>1275286.11974873</v>
      </c>
      <c r="D34" s="56" t="n">
        <f aca="false">D20*ho_pct</f>
        <v>1669141.94276998</v>
      </c>
      <c r="E34" s="56" t="n">
        <f aca="false">E20*ho_pct</f>
        <v>2087221.48238371</v>
      </c>
    </row>
    <row r="35" customFormat="false" ht="15" hidden="false" customHeight="false" outlineLevel="0" collapsed="false">
      <c r="A35" s="40" t="s">
        <v>20</v>
      </c>
      <c r="B35" s="63" t="n">
        <f aca="false">B29+B30+B31+B32+B33-B34</f>
        <v>1071094.76108022</v>
      </c>
      <c r="C35" s="63" t="n">
        <f aca="false">C29+C30+C31+C32+C33-C34</f>
        <v>1461851.81861527</v>
      </c>
      <c r="D35" s="63" t="n">
        <f aca="false">D29+D30+D31+D32+D33-D34</f>
        <v>2230945.63392834</v>
      </c>
      <c r="E35" s="63" t="n">
        <f aca="false">E29+E30+E31+E32+E33-E34</f>
        <v>3110336.01889644</v>
      </c>
    </row>
    <row r="36" customFormat="false" ht="15" hidden="false" customHeight="false" outlineLevel="0" collapsed="false">
      <c r="A36" s="5" t="s">
        <v>21</v>
      </c>
      <c r="B36" s="37" t="n">
        <f aca="false">IF(B20=0,0,B35/B20)</f>
        <v>0.0557809948360127</v>
      </c>
      <c r="C36" s="37" t="n">
        <f aca="false">IF(C20=0,0,C35/C20)</f>
        <v>0.0573146604506016</v>
      </c>
      <c r="D36" s="37" t="n">
        <f aca="false">IF(D20=0,0,D35/D20)</f>
        <v>0.0668291167084938</v>
      </c>
      <c r="E36" s="37" t="n">
        <f aca="false">IF(E20=0,0,E35/E20)</f>
        <v>0.0745090074327971</v>
      </c>
    </row>
    <row r="38" customFormat="false" ht="15" hidden="false" customHeight="false" outlineLevel="0" collapsed="false">
      <c r="A38" s="3" t="s">
        <v>232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5" t="s">
        <v>233</v>
      </c>
      <c r="C39" s="56" t="n">
        <f aca="false">C6*ns_invest</f>
        <v>2350000</v>
      </c>
      <c r="D39" s="56" t="n">
        <f aca="false">D6*ns_invest</f>
        <v>2350000</v>
      </c>
      <c r="E39" s="56" t="n">
        <f aca="false">E6*ns_invest</f>
        <v>2350000</v>
      </c>
    </row>
    <row r="40" customFormat="false" ht="15" hidden="false" customHeight="false" outlineLevel="0" collapsed="false">
      <c r="A40" s="9" t="s">
        <v>234</v>
      </c>
      <c r="C40" s="64" t="n">
        <f aca="false">C35-C39</f>
        <v>-888148.181384726</v>
      </c>
      <c r="D40" s="64" t="n">
        <f aca="false">D35-D39</f>
        <v>-119054.366071659</v>
      </c>
      <c r="E40" s="64" t="n">
        <f aca="false">E35-E39</f>
        <v>760336.018896436</v>
      </c>
    </row>
    <row r="41" customFormat="false" ht="15" hidden="false" customHeight="false" outlineLevel="0" collapsed="false">
      <c r="A41" s="9" t="s">
        <v>235</v>
      </c>
      <c r="C41" s="64" t="n">
        <f aca="false">C40</f>
        <v>-888148.181384726</v>
      </c>
      <c r="D41" s="64" t="n">
        <f aca="false">C41+D40</f>
        <v>-1007202.54745638</v>
      </c>
      <c r="E41" s="64" t="n">
        <f aca="false">D41+E40</f>
        <v>-246866.528559949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15" hidden="false" customHeight="false" outlineLevel="0" collapsed="false">
      <c r="A4" s="9" t="s">
        <v>150</v>
      </c>
      <c r="B4" s="68" t="s">
        <v>162</v>
      </c>
      <c r="C4" s="68"/>
      <c r="D4" s="22" t="s">
        <v>238</v>
      </c>
    </row>
    <row r="6" customFormat="false" ht="15" hidden="false" customHeight="false" outlineLevel="0" collapsed="false">
      <c r="A6" s="3" t="s">
        <v>239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5" t="s">
        <v>240</v>
      </c>
      <c r="B7" s="69" t="n">
        <f aca="false">INDEX(Actuals!$I$15:$I$24,MATCH(category,Actuals!$A$15:$A$24,0))</f>
        <v>31.9777764842841</v>
      </c>
    </row>
    <row r="8" customFormat="false" ht="15" hidden="false" customHeight="false" outlineLevel="0" collapsed="false">
      <c r="A8" s="5" t="s">
        <v>157</v>
      </c>
      <c r="B8" s="69" t="n">
        <f aca="false">INDEX(Actuals!$J$15:$J$24,MATCH(category,Actuals!$A$15:$A$24,0))</f>
        <v>24.2771226232053</v>
      </c>
    </row>
    <row r="9" customFormat="false" ht="15" hidden="false" customHeight="false" outlineLevel="0" collapsed="false">
      <c r="A9" s="5" t="s">
        <v>241</v>
      </c>
      <c r="B9" s="19" t="n">
        <f aca="false">INDEX(Actuals!$K$15:$K$24,MATCH(category,Actuals!$A$15:$A$24,0))</f>
        <v>1202.6</v>
      </c>
    </row>
    <row r="10" customFormat="false" ht="15" hidden="false" customHeight="false" outlineLevel="0" collapsed="false">
      <c r="A10" s="5" t="s">
        <v>242</v>
      </c>
      <c r="B10" s="70" t="n">
        <f aca="false">IF(B7=0,0,(B7-B8)/B7)</f>
        <v>0.240812673916317</v>
      </c>
    </row>
    <row r="11" customFormat="false" ht="15" hidden="false" customHeight="false" outlineLevel="0" collapsed="false">
      <c r="A11" s="5" t="s">
        <v>154</v>
      </c>
      <c r="B11" s="20" t="n">
        <f aca="false">INDEX(Actuals!$G$15:$G$24,MATCH(category,Actuals!$A$15:$A$24,0))</f>
        <v>0.28</v>
      </c>
      <c r="C11" s="22" t="s">
        <v>243</v>
      </c>
    </row>
    <row r="12" customFormat="false" ht="15" hidden="false" customHeight="false" outlineLevel="0" collapsed="false">
      <c r="A12" s="5" t="s">
        <v>155</v>
      </c>
      <c r="B12" s="71" t="n">
        <f aca="false">B10-B11</f>
        <v>-0.0391873260836828</v>
      </c>
    </row>
    <row r="13" customFormat="false" ht="15" hidden="false" customHeight="false" outlineLevel="0" collapsed="false">
      <c r="A13" s="5" t="s">
        <v>239</v>
      </c>
      <c r="B13" s="72" t="n">
        <v>0.03</v>
      </c>
    </row>
    <row r="14" customFormat="false" ht="15" hidden="false" customHeight="false" outlineLevel="0" collapsed="false">
      <c r="A14" s="5" t="s">
        <v>244</v>
      </c>
      <c r="B14" s="73" t="n">
        <v>-1.2</v>
      </c>
      <c r="C14" s="22" t="s">
        <v>245</v>
      </c>
    </row>
    <row r="15" customFormat="false" ht="15" hidden="false" customHeight="false" outlineLevel="0" collapsed="false">
      <c r="A15" s="5" t="s">
        <v>246</v>
      </c>
      <c r="B15" s="74" t="n">
        <f aca="false">B7*(1+B13)</f>
        <v>32.9371097788126</v>
      </c>
    </row>
    <row r="16" customFormat="false" ht="15" hidden="false" customHeight="false" outlineLevel="0" collapsed="false">
      <c r="A16" s="5" t="s">
        <v>247</v>
      </c>
      <c r="B16" s="75" t="n">
        <f aca="false">MAX(0,B9*(1+B14*B13))</f>
        <v>1159.3064</v>
      </c>
    </row>
    <row r="17" customFormat="false" ht="15" hidden="false" customHeight="false" outlineLevel="0" collapsed="false">
      <c r="A17" s="5" t="s">
        <v>248</v>
      </c>
      <c r="B17" s="76" t="n">
        <f aca="false">(B7-B8)*B9</f>
        <v>9260.80633333333</v>
      </c>
    </row>
    <row r="18" customFormat="false" ht="15" hidden="false" customHeight="false" outlineLevel="0" collapsed="false">
      <c r="A18" s="5" t="s">
        <v>249</v>
      </c>
      <c r="B18" s="76" t="n">
        <f aca="false">(B15-B8)*B16</f>
        <v>10039.5785334133</v>
      </c>
    </row>
    <row r="19" customFormat="false" ht="15" hidden="false" customHeight="false" outlineLevel="0" collapsed="false">
      <c r="A19" s="9" t="s">
        <v>250</v>
      </c>
      <c r="B19" s="51" t="n">
        <f aca="false">(B18-B17)*52</f>
        <v>40496.1544041599</v>
      </c>
    </row>
    <row r="20" customFormat="false" ht="15" hidden="false" customHeight="false" outlineLevel="0" collapsed="false">
      <c r="A20" s="5" t="s">
        <v>251</v>
      </c>
      <c r="B20" s="70" t="n">
        <f aca="false">IF(B15=0,0,(B15-B8)/B15)</f>
        <v>0.262924926132347</v>
      </c>
    </row>
    <row r="21" customFormat="false" ht="15" hidden="false" customHeight="false" outlineLevel="0" collapsed="false">
      <c r="A21" s="5" t="s">
        <v>252</v>
      </c>
      <c r="B21" s="71" t="n">
        <f aca="false">IF(B15-B8&lt;=0,"Below cost",(B7-B8)/(B15-B8)-1)</f>
        <v>-0.110777680993136</v>
      </c>
      <c r="C21" s="22" t="s">
        <v>253</v>
      </c>
    </row>
    <row r="23" customFormat="false" ht="15" hidden="false" customHeight="false" outlineLevel="0" collapsed="false">
      <c r="A23" s="9" t="s">
        <v>254</v>
      </c>
    </row>
    <row r="24" customFormat="false" ht="15" hidden="false" customHeight="false" outlineLevel="0" collapsed="false">
      <c r="B24" s="77" t="n">
        <v>-0.5</v>
      </c>
      <c r="C24" s="77" t="n">
        <v>-1</v>
      </c>
      <c r="D24" s="77" t="n">
        <v>-1.5</v>
      </c>
      <c r="E24" s="77" t="n">
        <v>-2</v>
      </c>
      <c r="F24" s="77" t="n">
        <v>-2.5</v>
      </c>
    </row>
    <row r="25" customFormat="false" ht="15" hidden="false" customHeight="false" outlineLevel="0" collapsed="false">
      <c r="A25" s="78" t="n">
        <v>-0.06</v>
      </c>
      <c r="B25" s="39" t="n">
        <f aca="false">(($B$7*(1+$A25)-$B$8)*MAX(0,$B$9*(1+B$24*$A25))-($B$7-$B$8)*$B$9)*52</f>
        <v>-109136.8669664</v>
      </c>
      <c r="C25" s="39" t="n">
        <f aca="false">(($B$7*(1+$A25)-$B$8)*MAX(0,$B$9*(1+C$24*$A25))-($B$7-$B$8)*$B$9)*52</f>
        <v>-98289.5350527999</v>
      </c>
      <c r="D25" s="39" t="n">
        <f aca="false">(($B$7*(1+$A25)-$B$8)*MAX(0,$B$9*(1+D$24*$A25))-($B$7-$B$8)*$B$9)*52</f>
        <v>-87442.2031392</v>
      </c>
      <c r="E25" s="39" t="n">
        <f aca="false">(($B$7*(1+$A25)-$B$8)*MAX(0,$B$9*(1+E$24*$A25))-($B$7-$B$8)*$B$9)*52</f>
        <v>-76594.8712256</v>
      </c>
      <c r="F25" s="39" t="n">
        <f aca="false">(($B$7*(1+$A25)-$B$8)*MAX(0,$B$9*(1+F$24*$A25))-($B$7-$B$8)*$B$9)*52</f>
        <v>-65747.5393120001</v>
      </c>
    </row>
    <row r="26" customFormat="false" ht="15" hidden="false" customHeight="false" outlineLevel="0" collapsed="false">
      <c r="A26" s="78" t="n">
        <v>-0.04</v>
      </c>
      <c r="B26" s="39" t="n">
        <f aca="false">(($B$7*(1+$A26)-$B$8)*MAX(0,$B$9*(1+B$24*$A26))-($B$7-$B$8)*$B$9)*52</f>
        <v>-71958.0166517333</v>
      </c>
      <c r="C26" s="39" t="n">
        <f aca="false">(($B$7*(1+$A26)-$B$8)*MAX(0,$B$9*(1+C$24*$A26))-($B$7-$B$8)*$B$9)*52</f>
        <v>-63926.5673834667</v>
      </c>
      <c r="D26" s="39" t="n">
        <f aca="false">(($B$7*(1+$A26)-$B$8)*MAX(0,$B$9*(1+D$24*$A26))-($B$7-$B$8)*$B$9)*52</f>
        <v>-55895.1181152</v>
      </c>
      <c r="E26" s="39" t="n">
        <f aca="false">(($B$7*(1+$A26)-$B$8)*MAX(0,$B$9*(1+E$24*$A26))-($B$7-$B$8)*$B$9)*52</f>
        <v>-47863.6688469334</v>
      </c>
      <c r="F26" s="39" t="n">
        <f aca="false">(($B$7*(1+$A26)-$B$8)*MAX(0,$B$9*(1+F$24*$A26))-($B$7-$B$8)*$B$9)*52</f>
        <v>-39832.2195786667</v>
      </c>
    </row>
    <row r="27" customFormat="false" ht="15" hidden="false" customHeight="false" outlineLevel="0" collapsed="false">
      <c r="A27" s="78" t="n">
        <v>-0.02</v>
      </c>
      <c r="B27" s="39" t="n">
        <f aca="false">(($B$7*(1+$A27)-$B$8)*MAX(0,$B$9*(1+B$24*$A27))-($B$7-$B$8)*$B$9)*52</f>
        <v>-35579.0609962666</v>
      </c>
      <c r="C27" s="39" t="n">
        <f aca="false">(($B$7*(1+$A27)-$B$8)*MAX(0,$B$9*(1+C$24*$A27))-($B$7-$B$8)*$B$9)*52</f>
        <v>-31163.3890325332</v>
      </c>
      <c r="D27" s="39" t="n">
        <f aca="false">(($B$7*(1+$A27)-$B$8)*MAX(0,$B$9*(1+D$24*$A27))-($B$7-$B$8)*$B$9)*52</f>
        <v>-26747.7170688</v>
      </c>
      <c r="E27" s="39" t="n">
        <f aca="false">(($B$7*(1+$A27)-$B$8)*MAX(0,$B$9*(1+E$24*$A27))-($B$7-$B$8)*$B$9)*52</f>
        <v>-22332.0451050666</v>
      </c>
      <c r="F27" s="39" t="n">
        <f aca="false">(($B$7*(1+$A27)-$B$8)*MAX(0,$B$9*(1+F$24*$A27))-($B$7-$B$8)*$B$9)*52</f>
        <v>-17916.3731413332</v>
      </c>
    </row>
    <row r="28" customFormat="false" ht="15" hidden="false" customHeight="false" outlineLevel="0" collapsed="false">
      <c r="A28" s="78" t="n">
        <v>0</v>
      </c>
      <c r="B28" s="39" t="n">
        <f aca="false">(($B$7*(1+$A28)-$B$8)*MAX(0,$B$9*(1+B$24*$A28))-($B$7-$B$8)*$B$9)*52</f>
        <v>0</v>
      </c>
      <c r="C28" s="39" t="n">
        <f aca="false">(($B$7*(1+$A28)-$B$8)*MAX(0,$B$9*(1+C$24*$A28))-($B$7-$B$8)*$B$9)*52</f>
        <v>0</v>
      </c>
      <c r="D28" s="39" t="n">
        <f aca="false">(($B$7*(1+$A28)-$B$8)*MAX(0,$B$9*(1+D$24*$A28))-($B$7-$B$8)*$B$9)*52</f>
        <v>0</v>
      </c>
      <c r="E28" s="39" t="n">
        <f aca="false">(($B$7*(1+$A28)-$B$8)*MAX(0,$B$9*(1+E$24*$A28))-($B$7-$B$8)*$B$9)*52</f>
        <v>0</v>
      </c>
      <c r="F28" s="39" t="n">
        <f aca="false">(($B$7*(1+$A28)-$B$8)*MAX(0,$B$9*(1+F$24*$A28))-($B$7-$B$8)*$B$9)*52</f>
        <v>0</v>
      </c>
    </row>
    <row r="29" customFormat="false" ht="15" hidden="false" customHeight="false" outlineLevel="0" collapsed="false">
      <c r="A29" s="78" t="n">
        <v>0.02</v>
      </c>
      <c r="B29" s="39" t="n">
        <f aca="false">(($B$7*(1+$A29)-$B$8)*MAX(0,$B$9*(1+B$24*$A29))-($B$7-$B$8)*$B$9)*52</f>
        <v>34779.1663370666</v>
      </c>
      <c r="C29" s="39" t="n">
        <f aca="false">(($B$7*(1+$A29)-$B$8)*MAX(0,$B$9*(1+C$24*$A29))-($B$7-$B$8)*$B$9)*52</f>
        <v>29563.5997141333</v>
      </c>
      <c r="D29" s="39" t="n">
        <f aca="false">(($B$7*(1+$A29)-$B$8)*MAX(0,$B$9*(1+D$24*$A29))-($B$7-$B$8)*$B$9)*52</f>
        <v>24348.0330912</v>
      </c>
      <c r="E29" s="39" t="n">
        <f aca="false">(($B$7*(1+$A29)-$B$8)*MAX(0,$B$9*(1+E$24*$A29))-($B$7-$B$8)*$B$9)*52</f>
        <v>19132.4664682666</v>
      </c>
      <c r="F29" s="39" t="n">
        <f aca="false">(($B$7*(1+$A29)-$B$8)*MAX(0,$B$9*(1+F$24*$A29))-($B$7-$B$8)*$B$9)*52</f>
        <v>13916.8998453332</v>
      </c>
    </row>
    <row r="30" customFormat="false" ht="15" hidden="false" customHeight="false" outlineLevel="0" collapsed="false">
      <c r="A30" s="78" t="n">
        <v>0.04</v>
      </c>
      <c r="B30" s="39" t="n">
        <f aca="false">(($B$7*(1+$A30)-$B$8)*MAX(0,$B$9*(1+B$24*$A30))-($B$7-$B$8)*$B$9)*52</f>
        <v>68758.4380149331</v>
      </c>
      <c r="C30" s="39" t="n">
        <f aca="false">(($B$7*(1+$A30)-$B$8)*MAX(0,$B$9*(1+C$24*$A30))-($B$7-$B$8)*$B$9)*52</f>
        <v>57527.4101098665</v>
      </c>
      <c r="D30" s="39" t="n">
        <f aca="false">(($B$7*(1+$A30)-$B$8)*MAX(0,$B$9*(1+D$24*$A30))-($B$7-$B$8)*$B$9)*52</f>
        <v>46296.3822047998</v>
      </c>
      <c r="E30" s="39" t="n">
        <f aca="false">(($B$7*(1+$A30)-$B$8)*MAX(0,$B$9*(1+E$24*$A30))-($B$7-$B$8)*$B$9)*52</f>
        <v>35065.3542997333</v>
      </c>
      <c r="F30" s="39" t="n">
        <f aca="false">(($B$7*(1+$A30)-$B$8)*MAX(0,$B$9*(1+F$24*$A30))-($B$7-$B$8)*$B$9)*52</f>
        <v>23834.3263946665</v>
      </c>
    </row>
    <row r="31" customFormat="false" ht="15" hidden="false" customHeight="false" outlineLevel="0" collapsed="false">
      <c r="A31" s="78" t="n">
        <v>0.06</v>
      </c>
      <c r="B31" s="39" t="n">
        <f aca="false">(($B$7*(1+$A31)-$B$8)*MAX(0,$B$9*(1+B$24*$A31))-($B$7-$B$8)*$B$9)*52</f>
        <v>101937.8150336</v>
      </c>
      <c r="C31" s="39" t="n">
        <f aca="false">(($B$7*(1+$A31)-$B$8)*MAX(0,$B$9*(1+C$24*$A31))-($B$7-$B$8)*$B$9)*52</f>
        <v>83891.4311872002</v>
      </c>
      <c r="D31" s="39" t="n">
        <f aca="false">(($B$7*(1+$A31)-$B$8)*MAX(0,$B$9*(1+D$24*$A31))-($B$7-$B$8)*$B$9)*52</f>
        <v>65845.0473408003</v>
      </c>
      <c r="E31" s="39" t="n">
        <f aca="false">(($B$7*(1+$A31)-$B$8)*MAX(0,$B$9*(1+E$24*$A31))-($B$7-$B$8)*$B$9)*52</f>
        <v>47798.6634944003</v>
      </c>
      <c r="F31" s="39" t="n">
        <f aca="false">(($B$7*(1+$A31)-$B$8)*MAX(0,$B$9*(1+F$24*$A31))-($B$7-$B$8)*$B$9)*52</f>
        <v>29752.2796480001</v>
      </c>
    </row>
    <row r="33" customFormat="false" ht="15" hidden="false" customHeight="false" outlineLevel="0" collapsed="false">
      <c r="A33" s="3" t="s">
        <v>255</v>
      </c>
      <c r="B33" s="4"/>
      <c r="C33" s="4"/>
      <c r="D33" s="4"/>
      <c r="E33" s="4"/>
      <c r="F33" s="4"/>
    </row>
    <row r="34" customFormat="false" ht="15" hidden="false" customHeight="false" outlineLevel="0" collapsed="false">
      <c r="A34" s="5" t="s">
        <v>256</v>
      </c>
      <c r="B34" s="79" t="n">
        <v>0.2</v>
      </c>
    </row>
    <row r="35" customFormat="false" ht="15" hidden="false" customHeight="false" outlineLevel="0" collapsed="false">
      <c r="A35" s="5" t="s">
        <v>257</v>
      </c>
      <c r="B35" s="80" t="n">
        <v>2</v>
      </c>
    </row>
    <row r="36" customFormat="false" ht="15" hidden="false" customHeight="false" outlineLevel="0" collapsed="false">
      <c r="A36" s="5" t="s">
        <v>258</v>
      </c>
      <c r="B36" s="79" t="n">
        <v>0.5</v>
      </c>
      <c r="C36" s="22" t="s">
        <v>259</v>
      </c>
    </row>
    <row r="37" customFormat="false" ht="15" hidden="false" customHeight="false" outlineLevel="0" collapsed="false">
      <c r="A37" s="5" t="s">
        <v>260</v>
      </c>
      <c r="B37" s="81" t="n">
        <v>0.5</v>
      </c>
    </row>
    <row r="38" customFormat="false" ht="15" hidden="false" customHeight="false" outlineLevel="0" collapsed="false">
      <c r="A38" s="5" t="s">
        <v>261</v>
      </c>
      <c r="B38" s="74" t="n">
        <f aca="false">B7*(1-B34)</f>
        <v>25.5822211874272</v>
      </c>
    </row>
    <row r="39" customFormat="false" ht="15" hidden="false" customHeight="false" outlineLevel="0" collapsed="false">
      <c r="A39" s="5" t="s">
        <v>262</v>
      </c>
      <c r="B39" s="74" t="n">
        <f aca="false">B38-B8+B7*B34*B37</f>
        <v>4.50287621265037</v>
      </c>
    </row>
    <row r="40" customFormat="false" ht="15" hidden="false" customHeight="false" outlineLevel="0" collapsed="false">
      <c r="A40" s="5" t="s">
        <v>263</v>
      </c>
      <c r="B40" s="75" t="n">
        <f aca="false">B9*(1+B36)</f>
        <v>1803.9</v>
      </c>
    </row>
    <row r="41" customFormat="false" ht="15" hidden="false" customHeight="false" outlineLevel="0" collapsed="false">
      <c r="A41" s="9" t="s">
        <v>264</v>
      </c>
      <c r="B41" s="51" t="n">
        <f aca="false">(B39*B40-(B7-B8)*B9)*B35</f>
        <v>-2276.13586666667</v>
      </c>
    </row>
    <row r="42" customFormat="false" ht="15" hidden="false" customHeight="false" outlineLevel="0" collapsed="false">
      <c r="A42" s="5" t="s">
        <v>265</v>
      </c>
      <c r="B42" s="82" t="n">
        <f aca="false">IF(B39&lt;=0,"Sells below cost",(B7-B8)/B39-1)</f>
        <v>0.710163348360449</v>
      </c>
      <c r="C42" s="22" t="s">
        <v>266</v>
      </c>
    </row>
    <row r="43" customFormat="false" ht="15" hidden="false" customHeight="false" outlineLevel="0" collapsed="false">
      <c r="A43" s="5" t="s">
        <v>267</v>
      </c>
      <c r="B43" s="83" t="str">
        <f aca="false">IF(B34&gt;0.3,"Over the 30% cap: needs COO approval","Within the 30% cap")</f>
        <v>Within the 30% cap</v>
      </c>
    </row>
    <row r="45" customFormat="false" ht="15" hidden="false" customHeight="false" outlineLevel="0" collapsed="false">
      <c r="A45" s="9" t="s">
        <v>268</v>
      </c>
    </row>
    <row r="46" customFormat="false" ht="15" hidden="false" customHeight="false" outlineLevel="0" collapsed="false">
      <c r="B46" s="84" t="n">
        <v>0.2</v>
      </c>
      <c r="C46" s="84" t="n">
        <v>0.4</v>
      </c>
      <c r="D46" s="84" t="n">
        <v>0.6</v>
      </c>
      <c r="E46" s="84" t="n">
        <v>0.8</v>
      </c>
      <c r="F46" s="84" t="n">
        <v>1</v>
      </c>
    </row>
    <row r="47" customFormat="false" ht="15" hidden="false" customHeight="false" outlineLevel="0" collapsed="false">
      <c r="A47" s="85" t="n">
        <v>0.1</v>
      </c>
      <c r="B47" s="39" t="n">
        <f aca="false">(($B$7*(1-$A47)-$B$8+$B$7*$A47*$B$37)*$B$9*(1+B$46)-($B$7-$B$8)*$B$9)*$B$35</f>
        <v>-910.454346666662</v>
      </c>
      <c r="C47" s="39" t="n">
        <f aca="false">(($B$7*(1-$A47)-$B$8+$B$7*$A47*$B$37)*$B$9*(1+C$46)-($B$7-$B$8)*$B$9)*$B$35</f>
        <v>2024.73870666667</v>
      </c>
      <c r="D47" s="39" t="n">
        <f aca="false">(($B$7*(1-$A47)-$B$8+$B$7*$A47*$B$37)*$B$9*(1+D$46)-($B$7-$B$8)*$B$9)*$B$35</f>
        <v>4959.93176000001</v>
      </c>
      <c r="E47" s="39" t="n">
        <f aca="false">(($B$7*(1-$A47)-$B$8+$B$7*$A47*$B$37)*$B$9*(1+E$46)-($B$7-$B$8)*$B$9)*$B$35</f>
        <v>7895.12481333335</v>
      </c>
      <c r="F47" s="39" t="n">
        <f aca="false">(($B$7*(1-$A47)-$B$8+$B$7*$A47*$B$37)*$B$9*(1+F$46)-($B$7-$B$8)*$B$9)*$B$35</f>
        <v>10830.3178666667</v>
      </c>
    </row>
    <row r="48" customFormat="false" ht="15" hidden="false" customHeight="false" outlineLevel="0" collapsed="false">
      <c r="A48" s="85" t="n">
        <v>0.15</v>
      </c>
      <c r="B48" s="39" t="n">
        <f aca="false">(($B$7*(1-$A48)-$B$8+$B$7*$A48*$B$37)*$B$9*(1+B$46)-($B$7-$B$8)*$B$9)*$B$35</f>
        <v>-3217.84278666668</v>
      </c>
      <c r="C48" s="39" t="n">
        <f aca="false">(($B$7*(1-$A48)-$B$8+$B$7*$A48*$B$37)*$B$9*(1+C$46)-($B$7-$B$8)*$B$9)*$B$35</f>
        <v>-667.214473333344</v>
      </c>
      <c r="D48" s="39" t="n">
        <f aca="false">(($B$7*(1-$A48)-$B$8+$B$7*$A48*$B$37)*$B$9*(1+D$46)-($B$7-$B$8)*$B$9)*$B$35</f>
        <v>1883.41383999999</v>
      </c>
      <c r="E48" s="39" t="n">
        <f aca="false">(($B$7*(1-$A48)-$B$8+$B$7*$A48*$B$37)*$B$9*(1+E$46)-($B$7-$B$8)*$B$9)*$B$35</f>
        <v>4434.04215333333</v>
      </c>
      <c r="F48" s="39" t="n">
        <f aca="false">(($B$7*(1-$A48)-$B$8+$B$7*$A48*$B$37)*$B$9*(1+F$46)-($B$7-$B$8)*$B$9)*$B$35</f>
        <v>6984.67046666666</v>
      </c>
    </row>
    <row r="49" customFormat="false" ht="15" hidden="false" customHeight="false" outlineLevel="0" collapsed="false">
      <c r="A49" s="85" t="n">
        <v>0.2</v>
      </c>
      <c r="B49" s="39" t="n">
        <f aca="false">(($B$7*(1-$A49)-$B$8+$B$7*$A49*$B$37)*$B$9*(1+B$46)-($B$7-$B$8)*$B$9)*$B$35</f>
        <v>-5525.23122666667</v>
      </c>
      <c r="C49" s="39" t="n">
        <f aca="false">(($B$7*(1-$A49)-$B$8+$B$7*$A49*$B$37)*$B$9*(1+C$46)-($B$7-$B$8)*$B$9)*$B$35</f>
        <v>-3359.16765333333</v>
      </c>
      <c r="D49" s="39" t="n">
        <f aca="false">(($B$7*(1-$A49)-$B$8+$B$7*$A49*$B$37)*$B$9*(1+D$46)-($B$7-$B$8)*$B$9)*$B$35</f>
        <v>-1193.10408</v>
      </c>
      <c r="E49" s="39" t="n">
        <f aca="false">(($B$7*(1-$A49)-$B$8+$B$7*$A49*$B$37)*$B$9*(1+E$46)-($B$7-$B$8)*$B$9)*$B$35</f>
        <v>972.959493333336</v>
      </c>
      <c r="F49" s="39" t="n">
        <f aca="false">(($B$7*(1-$A49)-$B$8+$B$7*$A49*$B$37)*$B$9*(1+F$46)-($B$7-$B$8)*$B$9)*$B$35</f>
        <v>3139.02306666667</v>
      </c>
    </row>
    <row r="50" customFormat="false" ht="15" hidden="false" customHeight="false" outlineLevel="0" collapsed="false">
      <c r="A50" s="85" t="n">
        <v>0.25</v>
      </c>
      <c r="B50" s="39" t="n">
        <f aca="false">(($B$7*(1-$A50)-$B$8+$B$7*$A50*$B$37)*$B$9*(1+B$46)-($B$7-$B$8)*$B$9)*$B$35</f>
        <v>-7832.61966666667</v>
      </c>
      <c r="C50" s="39" t="n">
        <f aca="false">(($B$7*(1-$A50)-$B$8+$B$7*$A50*$B$37)*$B$9*(1+C$46)-($B$7-$B$8)*$B$9)*$B$35</f>
        <v>-6051.12083333333</v>
      </c>
      <c r="D50" s="39" t="n">
        <f aca="false">(($B$7*(1-$A50)-$B$8+$B$7*$A50*$B$37)*$B$9*(1+D$46)-($B$7-$B$8)*$B$9)*$B$35</f>
        <v>-4269.622</v>
      </c>
      <c r="E50" s="39" t="n">
        <f aca="false">(($B$7*(1-$A50)-$B$8+$B$7*$A50*$B$37)*$B$9*(1+E$46)-($B$7-$B$8)*$B$9)*$B$35</f>
        <v>-2488.12316666667</v>
      </c>
      <c r="F50" s="39" t="n">
        <f aca="false">(($B$7*(1-$A50)-$B$8+$B$7*$A50*$B$37)*$B$9*(1+F$46)-($B$7-$B$8)*$B$9)*$B$35</f>
        <v>-706.624333333333</v>
      </c>
    </row>
    <row r="51" customFormat="false" ht="15" hidden="false" customHeight="false" outlineLevel="0" collapsed="false">
      <c r="A51" s="85" t="n">
        <v>0.3</v>
      </c>
      <c r="B51" s="39" t="n">
        <f aca="false">(($B$7*(1-$A51)-$B$8+$B$7*$A51*$B$37)*$B$9*(1+B$46)-($B$7-$B$8)*$B$9)*$B$35</f>
        <v>-10140.0081066667</v>
      </c>
      <c r="C51" s="39" t="n">
        <f aca="false">(($B$7*(1-$A51)-$B$8+$B$7*$A51*$B$37)*$B$9*(1+C$46)-($B$7-$B$8)*$B$9)*$B$35</f>
        <v>-8743.07401333334</v>
      </c>
      <c r="D51" s="39" t="n">
        <f aca="false">(($B$7*(1-$A51)-$B$8+$B$7*$A51*$B$37)*$B$9*(1+D$46)-($B$7-$B$8)*$B$9)*$B$35</f>
        <v>-7346.13992</v>
      </c>
      <c r="E51" s="39" t="n">
        <f aca="false">(($B$7*(1-$A51)-$B$8+$B$7*$A51*$B$37)*$B$9*(1+E$46)-($B$7-$B$8)*$B$9)*$B$35</f>
        <v>-5949.20582666667</v>
      </c>
      <c r="F51" s="39" t="n">
        <f aca="false">(($B$7*(1-$A51)-$B$8+$B$7*$A51*$B$37)*$B$9*(1+F$46)-($B$7-$B$8)*$B$9)*$B$35</f>
        <v>-4552.27173333334</v>
      </c>
    </row>
  </sheetData>
  <mergeCells count="1">
    <mergeCell ref="B4:C4"/>
  </mergeCells>
  <dataValidations count="1">
    <dataValidation allowBlank="false" errorStyle="stop" operator="between" showDropDown="false" showErrorMessage="false" showInputMessage="false" sqref="B4" type="list">
      <formula1>category_list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269</v>
      </c>
    </row>
    <row r="4" customFormat="false" ht="15" hidden="false" customHeight="false" outlineLevel="0" collapsed="false">
      <c r="A4" s="13" t="s">
        <v>270</v>
      </c>
      <c r="B4" s="14" t="s">
        <v>271</v>
      </c>
      <c r="C4" s="14" t="s">
        <v>272</v>
      </c>
      <c r="D4" s="14" t="s">
        <v>273</v>
      </c>
      <c r="E4" s="14" t="s">
        <v>274</v>
      </c>
    </row>
    <row r="5" customFormat="false" ht="15" hidden="false" customHeight="false" outlineLevel="0" collapsed="false">
      <c r="A5" s="5" t="s">
        <v>275</v>
      </c>
      <c r="B5" s="48" t="n">
        <f aca="false">Actuals!C10</f>
        <v>1484042.43</v>
      </c>
      <c r="C5" s="48" t="n">
        <f aca="false">Actuals!D10</f>
        <v>1484042.43</v>
      </c>
      <c r="D5" s="39" t="n">
        <f aca="false">B5-C5</f>
        <v>0</v>
      </c>
      <c r="E5" s="86" t="str">
        <f aca="false">IF(ABS(D5)&lt;=0.005*MAX(1,ABS(C5)),"OK","CHECK")</f>
        <v>OK</v>
      </c>
    </row>
    <row r="6" customFormat="false" ht="15" hidden="false" customHeight="false" outlineLevel="0" collapsed="false">
      <c r="A6" s="5" t="s">
        <v>276</v>
      </c>
      <c r="B6" s="48" t="n">
        <f aca="false">Actuals!C25</f>
        <v>1484042.43</v>
      </c>
      <c r="C6" s="48" t="n">
        <f aca="false">Actuals!C10</f>
        <v>1484042.43</v>
      </c>
      <c r="D6" s="39" t="n">
        <f aca="false">B6-C6</f>
        <v>0</v>
      </c>
      <c r="E6" s="86" t="str">
        <f aca="false">IF(ABS(D6)&lt;=0.005*MAX(1,ABS(C6)),"OK","CHECK")</f>
        <v>OK</v>
      </c>
    </row>
    <row r="7" customFormat="false" ht="15" hidden="false" customHeight="false" outlineLevel="0" collapsed="false">
      <c r="A7" s="5" t="s">
        <v>277</v>
      </c>
      <c r="B7" s="48" t="n">
        <f aca="false">Actuals!D25</f>
        <v>773286.12</v>
      </c>
      <c r="C7" s="48" t="n">
        <f aca="false">Actuals!E10</f>
        <v>773286.12</v>
      </c>
      <c r="D7" s="39" t="n">
        <f aca="false">B7-C7</f>
        <v>0</v>
      </c>
      <c r="E7" s="86" t="str">
        <f aca="false">IF(ABS(D7)&lt;=0.005*MAX(1,ABS(C7)),"OK","CHECK")</f>
        <v>OK</v>
      </c>
    </row>
    <row r="8" customFormat="false" ht="15" hidden="false" customHeight="false" outlineLevel="0" collapsed="false">
      <c r="A8" s="5" t="s">
        <v>278</v>
      </c>
      <c r="B8" s="48" t="n">
        <f aca="false">Actuals!B30+Actuals!B31</f>
        <v>1484042.43</v>
      </c>
      <c r="C8" s="48" t="n">
        <f aca="false">Actuals!C25</f>
        <v>1484042.43</v>
      </c>
      <c r="D8" s="39" t="n">
        <f aca="false">B8-C8</f>
        <v>0</v>
      </c>
      <c r="E8" s="86" t="str">
        <f aca="false">IF(ABS(D8)&lt;=0.005*MAX(1,ABS(C8)),"OK","CHECK")</f>
        <v>OK</v>
      </c>
    </row>
    <row r="9" customFormat="false" ht="15" hidden="false" customHeight="false" outlineLevel="0" collapsed="false">
      <c r="A9" s="5" t="s">
        <v>279</v>
      </c>
      <c r="B9" s="39" t="n">
        <f aca="false">SUM('New Store'!$D$55:$BK$55)</f>
        <v>3105800.72196337</v>
      </c>
      <c r="C9" s="48" t="n">
        <f aca="false">SUM('New Store'!B32:F32)</f>
        <v>3105800.72196337</v>
      </c>
      <c r="D9" s="39" t="n">
        <f aca="false">B9-C9</f>
        <v>0</v>
      </c>
      <c r="E9" s="86" t="str">
        <f aca="false">IF(ABS(D9)&lt;=0.005*MAX(1,ABS(C9)),"OK","CHECK")</f>
        <v>OK</v>
      </c>
    </row>
    <row r="10" customFormat="false" ht="15" hidden="false" customHeight="false" outlineLevel="0" collapsed="false">
      <c r="A10" s="5" t="s">
        <v>280</v>
      </c>
      <c r="B10" s="49" t="n">
        <f aca="false">INDEX('New Store'!$D$48:$BK$48,MIN(60,MAX(1,ramp_months)))</f>
        <v>1</v>
      </c>
      <c r="C10" s="25" t="n">
        <v>1</v>
      </c>
      <c r="D10" s="62" t="n">
        <f aca="false">B10-C10</f>
        <v>0</v>
      </c>
      <c r="E10" s="86" t="str">
        <f aca="false">IF(ABS(D10)&lt;=0.005*MAX(1,ABS(C10)),"OK","CHECK")</f>
        <v>OK</v>
      </c>
    </row>
    <row r="11" customFormat="false" ht="15" hidden="false" customHeight="false" outlineLevel="0" collapsed="false">
      <c r="A11" s="5" t="s">
        <v>281</v>
      </c>
      <c r="B11" s="48" t="n">
        <f aca="false">'3-Year Plan'!E16</f>
        <v>17094202.68</v>
      </c>
      <c r="C11" s="48" t="n">
        <f aca="false">open_2027*SUMIF('New Store'!$D$47:$BK$47,3,'New Store'!$D$49:$BK$49)+open_2028*SUMIF('New Store'!$D$47:$BK$47,2,'New Store'!$D$49:$BK$49)+open_2029*SUMIF('New Store'!$D$47:$BK$47,1,'New Store'!$D$49:$BK$49)</f>
        <v>17094202.68</v>
      </c>
      <c r="D11" s="39" t="n">
        <f aca="false">B11-C11</f>
        <v>0</v>
      </c>
      <c r="E11" s="86" t="str">
        <f aca="false">IF(ABS(D11)&lt;=0.005*MAX(1,ABS(C11)),"OK","CHECK")</f>
        <v>OK</v>
      </c>
    </row>
    <row r="12" customFormat="false" ht="15" hidden="false" customHeight="false" outlineLevel="0" collapsed="false">
      <c r="A12" s="5" t="s">
        <v>282</v>
      </c>
      <c r="B12" s="48" t="n">
        <f aca="false">'3-Year Plan'!E41</f>
        <v>-246866.528559949</v>
      </c>
      <c r="C12" s="48" t="n">
        <f aca="false">SUM('3-Year Plan'!C40:E40)</f>
        <v>-246866.528559949</v>
      </c>
      <c r="D12" s="39" t="n">
        <f aca="false">B12-C12</f>
        <v>0</v>
      </c>
      <c r="E12" s="86" t="str">
        <f aca="false">IF(ABS(D12)&lt;=0.005*MAX(1,ABS(C12)),"OK","CHECK")</f>
        <v>OK</v>
      </c>
    </row>
    <row r="13" customFormat="false" ht="15" hidden="false" customHeight="false" outlineLevel="0" collapsed="false">
      <c r="A13" s="5" t="s">
        <v>283</v>
      </c>
      <c r="B13" s="48" t="n">
        <f aca="false">'3-Year Plan'!E20</f>
        <v>41744429.6476742</v>
      </c>
      <c r="C13" s="48" t="n">
        <f aca="false">'3-Year Plan'!E14+'3-Year Plan'!E15+'3-Year Plan'!E16+'3-Year Plan'!E17+'3-Year Plan'!E18+'3-Year Plan'!E19</f>
        <v>41744429.6476742</v>
      </c>
      <c r="D13" s="39" t="n">
        <f aca="false">B13-C13</f>
        <v>0</v>
      </c>
      <c r="E13" s="86" t="str">
        <f aca="false">IF(ABS(D13)&lt;=0.005*MAX(1,ABS(C13)),"OK","CHECK")</f>
        <v>OK</v>
      </c>
    </row>
    <row r="14" customFormat="false" ht="15" hidden="false" customHeight="false" outlineLevel="0" collapsed="false">
      <c r="A14" s="5" t="s">
        <v>284</v>
      </c>
      <c r="B14" s="39" t="n">
        <f aca="false">SUM(Pricing!B28:F28)</f>
        <v>0</v>
      </c>
      <c r="C14" s="33" t="n">
        <v>0</v>
      </c>
      <c r="D14" s="39" t="n">
        <f aca="false">B14-C14</f>
        <v>0</v>
      </c>
      <c r="E14" s="86" t="str">
        <f aca="false">IF(ABS(D14)&lt;=0.005*MAX(1,ABS(C14)),"OK","CHECK")</f>
        <v>OK</v>
      </c>
    </row>
    <row r="15" customFormat="false" ht="15" hidden="false" customHeight="false" outlineLevel="0" collapsed="false">
      <c r="A15" s="5" t="s">
        <v>285</v>
      </c>
      <c r="B15" s="7" t="str">
        <f aca="false">scenario</f>
        <v>Base</v>
      </c>
      <c r="E15" s="86" t="str">
        <f aca="false">IF(ISNUMBER(MATCH(scenario,Inputs!$D$6:$F$6,0)),"OK","CHECK")</f>
        <v>OK</v>
      </c>
    </row>
    <row r="16" customFormat="false" ht="15" hidden="false" customHeight="false" outlineLevel="0" collapsed="false">
      <c r="A16" s="5" t="s">
        <v>286</v>
      </c>
      <c r="E16" s="86" t="str">
        <f aca="false">IF(AND(ramp_start&gt;0,ramp_start&lt;=1,ramp_months&gt;=1,labor_floor&gt;=0,labor_floor&lt;=1),"OK","CHECK")</f>
        <v>OK</v>
      </c>
    </row>
    <row r="17" customFormat="false" ht="15" hidden="false" customHeight="false" outlineLevel="0" collapsed="false">
      <c r="A17" s="5" t="s">
        <v>287</v>
      </c>
      <c r="B17" s="7" t="str">
        <f aca="false">category</f>
        <v>Meat &amp; Seafood</v>
      </c>
      <c r="E17" s="86" t="str">
        <f aca="false">IF(ISNUMBER(MATCH(category,category_list,0)),"OK","CHECK")</f>
        <v>OK</v>
      </c>
    </row>
    <row r="19" customFormat="false" ht="15" hidden="false" customHeight="false" outlineLevel="0" collapsed="false">
      <c r="A19" s="9" t="s">
        <v>288</v>
      </c>
      <c r="B19" s="9" t="str">
        <f aca="false">IF(COUNTIF(E5:E17,"OK")=ROWS(E5:E17),"All "&amp;ROWS(E5:E17)&amp;" checks pass",ROWS(E5:E17)-COUNTIF(E5:E17,"OK")&amp;" of "&amp;ROWS(E5:E17)&amp;" checks need a look")</f>
        <v>All 13 checks pass</v>
      </c>
    </row>
  </sheetData>
  <conditionalFormatting sqref="E5:E1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2026-09-30T23:57:44Z</dcterms:created>
  <dc:creator>openpyxl</dc:creator>
  <dc:description/>
  <dc:language>en-US</dc:language>
  <cp:lastModifiedBy/>
  <dcterms:modified xsi:type="dcterms:W3CDTF">2026-09-30T23:57:44Z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